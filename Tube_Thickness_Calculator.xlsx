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ATERIALS" sheetId="3" state="visible" r:id="rId5"/>
    <sheet name="ASME_VIII" sheetId="4" state="visible" r:id="rId6"/>
    <sheet name="TEMA" sheetId="5" state="visible" r:id="rId7"/>
    <sheet name="API_660" sheetId="6" state="visible" r:id="rId8"/>
    <sheet name="IOGP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<sst xmlns="http://schemas.openxmlformats.org/spreadsheetml/2006/main" count="651" uniqueCount="425">
  <si>
    <t xml:space="preserve">HEAT EXCHANGER
TUBE THICKNESS CALCULATOR</t>
  </si>
  <si>
    <t xml:space="preserve">Per ASME Sec VIII Div 1 | TEMA | API 660 | IOGP S-614</t>
  </si>
  <si>
    <t xml:space="preserve">Standards Referenced</t>
  </si>
  <si>
    <t xml:space="preserve">Clause / Scope</t>
  </si>
  <si>
    <t xml:space="preserve">ASME Section VIII Div 1</t>
  </si>
  <si>
    <t xml:space="preserve">UG-27, UG-28, UG-31 — Pressure vessel tube thickness</t>
  </si>
  <si>
    <t xml:space="preserve">TEMA 10th Edition</t>
  </si>
  <si>
    <t xml:space="preserve">RGP-T-2.4 — Minimum tube wall thickness</t>
  </si>
  <si>
    <t xml:space="preserve">API 660 9th Edition</t>
  </si>
  <si>
    <t xml:space="preserve">Shell-and-tube HE requirements, tube sizing table</t>
  </si>
  <si>
    <t xml:space="preserve">IOGP S-614</t>
  </si>
  <si>
    <t xml:space="preserve">Supplementary spec to API 660 for shell-and-tube HEs</t>
  </si>
  <si>
    <t xml:space="preserve">Color Legend</t>
  </si>
  <si>
    <t xml:space="preserve">Meaning</t>
  </si>
  <si>
    <t xml:space="preserve">Yellow / Blue text</t>
  </si>
  <si>
    <t xml:space="preserve">USER INPUT — cells to fill in</t>
  </si>
  <si>
    <t xml:space="preserve">Light blue</t>
  </si>
  <si>
    <t xml:space="preserve">Calculated value (do not edit)</t>
  </si>
  <si>
    <t xml:space="preserve">Green</t>
  </si>
  <si>
    <t xml:space="preserve">PASS — requirement satisfied</t>
  </si>
  <si>
    <t xml:space="preserve">Light red</t>
  </si>
  <si>
    <t xml:space="preserve">FAIL — requirement NOT met</t>
  </si>
  <si>
    <t xml:space="preserve">Orange</t>
  </si>
  <si>
    <t xml:space="preserve">Warning / requires attention</t>
  </si>
  <si>
    <t xml:space="preserve">Instructions</t>
  </si>
  <si>
    <t xml:space="preserve">1. Go to INPUTS sheet → fill all yellow cells with your project data.</t>
  </si>
  <si>
    <t xml:space="preserve">2. In MATERIALS sheet, verify or update allowable stress for your material &amp; temperature.</t>
  </si>
  <si>
    <t xml:space="preserve">3. ASME_VIII sheet auto-calculates required thickness per UG-27 / UG-28 / UG-31.</t>
  </si>
  <si>
    <t xml:space="preserve">4. TEMA sheet checks minimum wall per TEMA RGP-T-2.4 table.</t>
  </si>
  <si>
    <t xml:space="preserve">5. API_660 sheet checks minimum wall per API 660 Table 5.</t>
  </si>
  <si>
    <t xml:space="preserve">6. IOGP sheet lists IOGP S-614 supplementary considerations (verify vs actual document).</t>
  </si>
  <si>
    <t xml:space="preserve">7. SUMMARY sheet shows governing (largest) required thickness and final PASS/FAIL.</t>
  </si>
  <si>
    <t xml:space="preserve">Created: 2026-10-21</t>
  </si>
  <si>
    <t xml:space="preserve">DESIGN INPUTS — Fill all yellow cells</t>
  </si>
  <si>
    <t xml:space="preserve">PROJECT INFORMATION</t>
  </si>
  <si>
    <t xml:space="preserve">Project Name</t>
  </si>
  <si>
    <t xml:space="preserve">Project XYZ</t>
  </si>
  <si>
    <t xml:space="preserve">Equipment Tag No.</t>
  </si>
  <si>
    <t xml:space="preserve">HE-101</t>
  </si>
  <si>
    <t xml:space="preserve">Document No.</t>
  </si>
  <si>
    <t xml:space="preserve">CALC-HE-101-001</t>
  </si>
  <si>
    <t xml:space="preserve">Revision</t>
  </si>
  <si>
    <t xml:space="preserve">0</t>
  </si>
  <si>
    <t xml:space="preserve">Prepared By</t>
  </si>
  <si>
    <t xml:space="preserve">Engineer Name</t>
  </si>
  <si>
    <t xml:space="preserve">Date</t>
  </si>
  <si>
    <t xml:space="preserve">2026-10-21</t>
  </si>
  <si>
    <t xml:space="preserve">TUBE GEOMETRY</t>
  </si>
  <si>
    <t xml:space="preserve">Parameter</t>
  </si>
  <si>
    <t xml:space="preserve">Value</t>
  </si>
  <si>
    <t xml:space="preserve">Unit</t>
  </si>
  <si>
    <t xml:space="preserve">Tube Outside Diameter (OD)</t>
  </si>
  <si>
    <t xml:space="preserve">D_o</t>
  </si>
  <si>
    <t xml:space="preserve">mm</t>
  </si>
  <si>
    <t xml:space="preserve">Typical: 15.88, 19.05, 25.4, 31.75, 38.1, 50.8 mm</t>
  </si>
  <si>
    <t xml:space="preserve">Nominal Wall Thickness (trial)</t>
  </si>
  <si>
    <t xml:space="preserve">t_nom</t>
  </si>
  <si>
    <t xml:space="preserve">Initial trial; verified by calculation</t>
  </si>
  <si>
    <t xml:space="preserve">Tube Inside Diameter (ID)</t>
  </si>
  <si>
    <t xml:space="preserve">D_i</t>
  </si>
  <si>
    <t xml:space="preserve">Calculated</t>
  </si>
  <si>
    <t xml:space="preserve">Cross-Section Flow Area</t>
  </si>
  <si>
    <t xml:space="preserve">A_i</t>
  </si>
  <si>
    <t xml:space="preserve">m²</t>
  </si>
  <si>
    <t xml:space="preserve">Tube Length (effective)</t>
  </si>
  <si>
    <t xml:space="preserve">L_eff</t>
  </si>
  <si>
    <t xml:space="preserve">Face-to-face tube length</t>
  </si>
  <si>
    <t xml:space="preserve">Unsupported Tube Span</t>
  </si>
  <si>
    <t xml:space="preserve">L_us</t>
  </si>
  <si>
    <t xml:space="preserve">Max span between baffles/supports (TEMA RGP-T-4.1)</t>
  </si>
  <si>
    <t xml:space="preserve">DESIGN CONDITIONS</t>
  </si>
  <si>
    <t xml:space="preserve">Symbol</t>
  </si>
  <si>
    <t xml:space="preserve">Design Internal Pressure (gauge)</t>
  </si>
  <si>
    <t xml:space="preserve">P_i</t>
  </si>
  <si>
    <t xml:space="preserve">barg</t>
  </si>
  <si>
    <t xml:space="preserve">ASME UG-27 internal pressure</t>
  </si>
  <si>
    <t xml:space="preserve">Design External Pressure (gauge)</t>
  </si>
  <si>
    <t xml:space="preserve">P_e</t>
  </si>
  <si>
    <t xml:space="preserve">0.1 barg = full vacuum + 0 barg</t>
  </si>
  <si>
    <t xml:space="preserve">Design Temperature</t>
  </si>
  <si>
    <t xml:space="preserve">T_d</t>
  </si>
  <si>
    <t xml:space="preserve">°C</t>
  </si>
  <si>
    <t xml:space="preserve">Metal temperature at design condition</t>
  </si>
  <si>
    <t xml:space="preserve">Operating Internal Pressure</t>
  </si>
  <si>
    <t xml:space="preserve">P_op</t>
  </si>
  <si>
    <t xml:space="preserve">For reference only</t>
  </si>
  <si>
    <t xml:space="preserve">Operating Temperature</t>
  </si>
  <si>
    <t xml:space="preserve">T_op</t>
  </si>
  <si>
    <t xml:space="preserve">MATERIAL PROPERTIES</t>
  </si>
  <si>
    <t xml:space="preserve">Tube Material / Grade</t>
  </si>
  <si>
    <t xml:space="preserve">Mat.</t>
  </si>
  <si>
    <t xml:space="preserve">SA-179 / SMLS CS</t>
  </si>
  <si>
    <t xml:space="preserve">—</t>
  </si>
  <si>
    <t xml:space="preserve">ASME IID Table 1A</t>
  </si>
  <si>
    <t xml:space="preserve">Allowable Stress at Design T</t>
  </si>
  <si>
    <t xml:space="preserve">S</t>
  </si>
  <si>
    <t xml:space="preserve">MPa</t>
  </si>
  <si>
    <t xml:space="preserve">SA-179 example; see MATERIALS. VERIFY vs ASME II-D</t>
  </si>
  <si>
    <t xml:space="preserve">Young's Modulus at Design T</t>
  </si>
  <si>
    <t xml:space="preserve">E_m</t>
  </si>
  <si>
    <t xml:space="preserve">GPa</t>
  </si>
  <si>
    <t xml:space="preserve">From ASME IID Table TM-1</t>
  </si>
  <si>
    <t xml:space="preserve">Poisson's Ratio</t>
  </si>
  <si>
    <t xml:space="preserve">ν</t>
  </si>
  <si>
    <t xml:space="preserve">Typical for steel</t>
  </si>
  <si>
    <t xml:space="preserve">FABRICATION ALLOWANCES</t>
  </si>
  <si>
    <t xml:space="preserve">Corrosion Allowance (tube-side)</t>
  </si>
  <si>
    <t xml:space="preserve">CA_i</t>
  </si>
  <si>
    <t xml:space="preserve">Inside corrosion; 0 if non-corrosive / CRA lined</t>
  </si>
  <si>
    <t xml:space="preserve">Corrosion Allowance (shell-side)</t>
  </si>
  <si>
    <t xml:space="preserve">CA_o</t>
  </si>
  <si>
    <t xml:space="preserve">Outside corrosion; 0 if non-corrosive</t>
  </si>
  <si>
    <t xml:space="preserve">Mill Tolerance</t>
  </si>
  <si>
    <t xml:space="preserve">MT</t>
  </si>
  <si>
    <t xml:space="preserve">%</t>
  </si>
  <si>
    <t xml:space="preserve">ASTM A179/A213 allow -12.5% on wall</t>
  </si>
  <si>
    <t xml:space="preserve">Joint Efficiency</t>
  </si>
  <si>
    <t xml:space="preserve">E</t>
  </si>
  <si>
    <t xml:space="preserve">1.0 = seamless tube; 0.85 = ERW; per UW-12</t>
  </si>
  <si>
    <t xml:space="preserve">Weld Examination Factor</t>
  </si>
  <si>
    <t xml:space="preserve">W_f</t>
  </si>
  <si>
    <t xml:space="preserve">1.0 for seamless; per UW-12 for welded</t>
  </si>
  <si>
    <t xml:space="preserve">HEAT EXCHANGER BUNDLE GEOMETRY</t>
  </si>
  <si>
    <t xml:space="preserve">Number of Tubes</t>
  </si>
  <si>
    <t xml:space="preserve">N_t</t>
  </si>
  <si>
    <t xml:space="preserve">Total number of tubes in bundle</t>
  </si>
  <si>
    <t xml:space="preserve">Number of Tube Passes</t>
  </si>
  <si>
    <t xml:space="preserve">N_p</t>
  </si>
  <si>
    <t xml:space="preserve">TEMA Type: 1=E, 2=E2, 4=E4, etc.</t>
  </si>
  <si>
    <t xml:space="preserve">Tube Pitch</t>
  </si>
  <si>
    <t xml:space="preserve">p_t</t>
  </si>
  <si>
    <t xml:space="preserve">Center-to-center tube spacing</t>
  </si>
  <si>
    <t xml:space="preserve">Tube Arrangement</t>
  </si>
  <si>
    <t xml:space="preserve">arr</t>
  </si>
  <si>
    <t xml:space="preserve">30° Triangular</t>
  </si>
  <si>
    <t xml:space="preserve">30°, 45°, 60°, 90° (TEMA)</t>
  </si>
  <si>
    <t xml:space="preserve">Shell Inside Diameter</t>
  </si>
  <si>
    <t xml:space="preserve">D_s</t>
  </si>
  <si>
    <t xml:space="preserve">Tube-Side Fluid</t>
  </si>
  <si>
    <t xml:space="preserve">Process fluid</t>
  </si>
  <si>
    <t xml:space="preserve">Shell-Side Fluid</t>
  </si>
  <si>
    <t xml:space="preserve">Steam / CW</t>
  </si>
  <si>
    <t xml:space="preserve">MATERIALS — Allowable Stress (MPa) — Source: ASME Section IID Table 1A / 1B</t>
  </si>
  <si>
    <t xml:space="preserve">Allowable stress S computed as min(UTS/3.5, 2*Yield/3) per ASME VIII-1 basis, room temp. INDICATIVE ONLY - verify EVERY value against ASME BPVC II-D Table 1A/1B for the controlling edition &amp; temperature before design use.</t>
  </si>
  <si>
    <t xml:space="preserve">Material</t>
  </si>
  <si>
    <t xml:space="preserve">Spec / Grade</t>
  </si>
  <si>
    <t xml:space="preserve">Min UTS (MPa)</t>
  </si>
  <si>
    <t xml:space="preserve">20°C</t>
  </si>
  <si>
    <t xml:space="preserve">50°C</t>
  </si>
  <si>
    <t xml:space="preserve">100°C</t>
  </si>
  <si>
    <t xml:space="preserve">150°C</t>
  </si>
  <si>
    <t xml:space="preserve">200°C</t>
  </si>
  <si>
    <t xml:space="preserve">250°C</t>
  </si>
  <si>
    <t xml:space="preserve">300°C</t>
  </si>
  <si>
    <t xml:space="preserve">350°C</t>
  </si>
  <si>
    <t xml:space="preserve">Notes</t>
  </si>
  <si>
    <t xml:space="preserve">Carbon Steel (CS)</t>
  </si>
  <si>
    <t xml:space="preserve">SA-179 SMLS</t>
  </si>
  <si>
    <t xml:space="preserve">S=UTS/3.5 (UTS 47ksi); flat &lt;=340C</t>
  </si>
  <si>
    <t xml:space="preserve">SA-192 SMLS</t>
  </si>
  <si>
    <t xml:space="preserve">C-Mo Steel</t>
  </si>
  <si>
    <t xml:space="preserve">SA-209 T1</t>
  </si>
  <si>
    <t xml:space="preserve">S=UTS/3.5 (UTS 55ksi); creep &gt;450C</t>
  </si>
  <si>
    <t xml:space="preserve">1-1/4Cr-1/2Mo</t>
  </si>
  <si>
    <t xml:space="preserve">SA-213 T11</t>
  </si>
  <si>
    <t xml:space="preserve">S=UTS/3.5 (UTS 60ksi); creep &gt;480C</t>
  </si>
  <si>
    <t xml:space="preserve">2-1/4Cr-1Mo</t>
  </si>
  <si>
    <t xml:space="preserve">SA-213 T22</t>
  </si>
  <si>
    <t xml:space="preserve">5Cr-0.5Mo</t>
  </si>
  <si>
    <t xml:space="preserve">SA-213 T5</t>
  </si>
  <si>
    <t xml:space="preserve">S=UTS/3.5 (UTS 60ksi)</t>
  </si>
  <si>
    <t xml:space="preserve">9Cr-1Mo (P91)</t>
  </si>
  <si>
    <t xml:space="preserve">SA-213 T91</t>
  </si>
  <si>
    <t xml:space="preserve">S=UTS/3.5 (UTS 85ksi)</t>
  </si>
  <si>
    <t xml:space="preserve">304 SS</t>
  </si>
  <si>
    <t xml:space="preserve">SA-213 TP304</t>
  </si>
  <si>
    <t xml:space="preserve">Austenitic SS</t>
  </si>
  <si>
    <t xml:space="preserve">316 SS</t>
  </si>
  <si>
    <t xml:space="preserve">SA-213 TP316</t>
  </si>
  <si>
    <t xml:space="preserve">Austenitic SS Mo-bearing</t>
  </si>
  <si>
    <t xml:space="preserve">321 SS</t>
  </si>
  <si>
    <t xml:space="preserve">SA-213 TP321</t>
  </si>
  <si>
    <t xml:space="preserve">Ti-stabilized SS</t>
  </si>
  <si>
    <t xml:space="preserve">347 SS</t>
  </si>
  <si>
    <t xml:space="preserve">SA-213 TP347</t>
  </si>
  <si>
    <t xml:space="preserve">Nb-stabilized SS</t>
  </si>
  <si>
    <t xml:space="preserve">Duplex 2205</t>
  </si>
  <si>
    <t xml:space="preserve">SA-789 S31803</t>
  </si>
  <si>
    <t xml:space="preserve">Duplex SS, max 300°C</t>
  </si>
  <si>
    <t xml:space="preserve">Super Duplex 2507</t>
  </si>
  <si>
    <t xml:space="preserve">SA-789 S32750</t>
  </si>
  <si>
    <t xml:space="preserve">Super Duplex SS</t>
  </si>
  <si>
    <t xml:space="preserve">Alloy 825 (Incoloy)</t>
  </si>
  <si>
    <t xml:space="preserve">SB-163 N08825</t>
  </si>
  <si>
    <t xml:space="preserve">Ni-Fe-Cr-Mo alloy</t>
  </si>
  <si>
    <t xml:space="preserve">Alloy 625 (Inconel)</t>
  </si>
  <si>
    <t xml:space="preserve">SB-444 N06625</t>
  </si>
  <si>
    <t xml:space="preserve">Ni-Cr-Mo alloy</t>
  </si>
  <si>
    <t xml:space="preserve">Copper-Nickel 90/10</t>
  </si>
  <si>
    <t xml:space="preserve">SB-111 C70600</t>
  </si>
  <si>
    <t xml:space="preserve">Cu-Ni, max 232°C</t>
  </si>
  <si>
    <t xml:space="preserve">Copper-Nickel 70/30</t>
  </si>
  <si>
    <t xml:space="preserve">SB-111 C71500</t>
  </si>
  <si>
    <t xml:space="preserve">Cu-Ni, max 260°C</t>
  </si>
  <si>
    <t xml:space="preserve">Admiralty Brass</t>
  </si>
  <si>
    <t xml:space="preserve">SB-111 C44300</t>
  </si>
  <si>
    <t xml:space="preserve">Max 150°C</t>
  </si>
  <si>
    <t xml:space="preserve">Titanium Gr 2</t>
  </si>
  <si>
    <t xml:space="preserve">SB-338 R50400</t>
  </si>
  <si>
    <t xml:space="preserve">Ti alloy, max 260°C</t>
  </si>
  <si>
    <t xml:space="preserve">NOTE: Values shown are indicative per ASME IID (2021). Always verify against the applicable code edition and specific heat-treatment condition. Highlighted cells = material not rated at that temperature.</t>
  </si>
  <si>
    <t xml:space="preserve">ASME SECTION VIII DIV 1 — TUBE THICKNESS CALCULATION</t>
  </si>
  <si>
    <t xml:space="preserve">Reference: UG-27(c), UG-28, UG-31, Appendix 1-1</t>
  </si>
  <si>
    <t xml:space="preserve">Tube Outside Diameter</t>
  </si>
  <si>
    <t xml:space="preserve">Nominal Wall Thickness</t>
  </si>
  <si>
    <t xml:space="preserve">Design Internal Pressure (barg→MPa)</t>
  </si>
  <si>
    <t xml:space="preserve">Design External Pressure (barg→MPa)</t>
  </si>
  <si>
    <t xml:space="preserve">Allowable Stress at Design Temp</t>
  </si>
  <si>
    <t xml:space="preserve">Corrosion Allowance (total = CA_i+CA_o)</t>
  </si>
  <si>
    <t xml:space="preserve">CA</t>
  </si>
  <si>
    <t xml:space="preserve">fraction</t>
  </si>
  <si>
    <t xml:space="preserve">Young's Modulus</t>
  </si>
  <si>
    <t xml:space="preserve">E_mod</t>
  </si>
  <si>
    <t xml:space="preserve">Calculation Step</t>
  </si>
  <si>
    <t xml:space="preserve">Result</t>
  </si>
  <si>
    <t xml:space="preserve">t_req = P_i·D_o / (2·(S·E + 0.4·P_i))</t>
  </si>
  <si>
    <t xml:space="preserve">t_req</t>
  </si>
  <si>
    <t xml:space="preserve">Eq UG-27(c)(1) rearranged to use OD; = t using ID form where R = D_i/2</t>
  </si>
  <si>
    <t xml:space="preserve">Minimum nominal thickness = (t_req + CA) / (1 – MT)</t>
  </si>
  <si>
    <t xml:space="preserve">t_nom_min</t>
  </si>
  <si>
    <t xml:space="preserve">Required nominal thickness ordered; add CA then divide by mill factor</t>
  </si>
  <si>
    <t xml:space="preserve">Net available thickness = t_nom·(1–MT) – CA</t>
  </si>
  <si>
    <t xml:space="preserve">t_avail</t>
  </si>
  <si>
    <t xml:space="preserve">Minimum actual thickness after mill tolerance and full corrosion allowance consumed</t>
  </si>
  <si>
    <t xml:space="preserve">MAWP = 2·S·E·t_avail / (D_o – 0.8·t_avail)</t>
  </si>
  <si>
    <t xml:space="preserve">MAWP</t>
  </si>
  <si>
    <t xml:space="preserve">Maximum Allowable Working Pressure on nominal corroded wall</t>
  </si>
  <si>
    <t xml:space="preserve">MAWP (barg)</t>
  </si>
  <si>
    <t xml:space="preserve">MAWP_b</t>
  </si>
  <si>
    <t xml:space="preserve">INTERNAL PRESSURE CHECK: t_avail ≥ t_req ?</t>
  </si>
  <si>
    <t xml:space="preserve">Do / t_avail ratio</t>
  </si>
  <si>
    <t xml:space="preserve">Do_t</t>
  </si>
  <si>
    <t xml:space="preserve">If Do/t &lt; 10 → thick cylinder, use different formula</t>
  </si>
  <si>
    <t xml:space="preserve">L_us / Do ratio</t>
  </si>
  <si>
    <t xml:space="preserve">L_D</t>
  </si>
  <si>
    <t xml:space="preserve">Slenderness ratio for external pressure chart</t>
  </si>
  <si>
    <t xml:space="preserve">Geometric Factor A (ASME Fig G approx.)</t>
  </si>
  <si>
    <t xml:space="preserve">A</t>
  </si>
  <si>
    <t xml:space="preserve">Approximation: A ≈ 0.125 / (L/Do / (Do/t)); rigorous: read ASME Sect II Part D Figure G</t>
  </si>
  <si>
    <t xml:space="preserve">Factor B = 0.9·E_mod·(t/Do)·A (elastic range)</t>
  </si>
  <si>
    <t xml:space="preserve">B</t>
  </si>
  <si>
    <t xml:space="preserve">If B ≤ S/2, elastic buckling governs</t>
  </si>
  <si>
    <t xml:space="preserve">Allowable ext. pressure P_a = B / (3·(Do/t)/4) [UG-28 elastic]</t>
  </si>
  <si>
    <t xml:space="preserve">P_a_e</t>
  </si>
  <si>
    <t xml:space="preserve">Elastic buckling allowable; see Appendix 1-2</t>
  </si>
  <si>
    <t xml:space="preserve">Allowable ext. pressure P_a = S·t_avail / (0.5·Do) [plastic limit]</t>
  </si>
  <si>
    <t xml:space="preserve">P_a_p</t>
  </si>
  <si>
    <t xml:space="preserve">Plastic / yield-based limit (conservative upper)</t>
  </si>
  <si>
    <t xml:space="preserve">Governing P_a = MIN(elastic, plastic)</t>
  </si>
  <si>
    <t xml:space="preserve">P_a</t>
  </si>
  <si>
    <t xml:space="preserve">Use the lesser value per ASME intent</t>
  </si>
  <si>
    <t xml:space="preserve">EXTERNAL PRESSURE CHECK: P_a ≥ P_e ?</t>
  </si>
  <si>
    <t xml:space="preserve">⚠  NOTE: External pressure calculation here uses an analytical approximation of ASME Figure G. For final design, the rigorous chart-based method per ASME VIII Div 1 UG-28 and Figure G + material charts (Section II Part D) MUST be followed. The approximation above is conservative for preliminary sizing only.</t>
  </si>
  <si>
    <t xml:space="preserve">t_long = P_i·D_o / (4·S·E − 0.8·P_i)  [Appendix 1-1(a)(2)]</t>
  </si>
  <si>
    <t xml:space="preserve">t_long</t>
  </si>
  <si>
    <t xml:space="preserve">Longitudinal stress (circ. joints); ~half of circumferential, rarely governs</t>
  </si>
  <si>
    <t xml:space="preserve">Governing ASME thickness (max of int. and long.)</t>
  </si>
  <si>
    <t xml:space="preserve">t_gov_asme</t>
  </si>
  <si>
    <t xml:space="preserve">Governs for thickness ordering (before CA &amp; MT)</t>
  </si>
  <si>
    <t xml:space="preserve">FORMULA VALIDATION — against published UG-27 worked example</t>
  </si>
  <si>
    <t xml:space="preserve">Validation Step</t>
  </si>
  <si>
    <t xml:space="preserve">Example inputs (Kezar Eng.): P=1.60 MPa, R_i=1000 mm, S=138 MPa, E=0.85</t>
  </si>
  <si>
    <t xml:space="preserve">Published circumferential answer = 13.75 mm</t>
  </si>
  <si>
    <t xml:space="preserve">ID form t = P·R/(S·E − 0.6·P)</t>
  </si>
  <si>
    <t xml:space="preserve">t_ID</t>
  </si>
  <si>
    <t xml:space="preserve">Should reproduce 13.75 mm → validates ID formula</t>
  </si>
  <si>
    <t xml:space="preserve">OD form (this sheet's method), D_o = 2020 mm</t>
  </si>
  <si>
    <t xml:space="preserve">t_OD</t>
  </si>
  <si>
    <t xml:space="preserve">Same case via OD form used by this workbook (~13.70 mm)</t>
  </si>
  <si>
    <t xml:space="preserve">Agreement within ID/OD rounding (&lt;0.5%)?</t>
  </si>
  <si>
    <t xml:space="preserve">check</t>
  </si>
  <si>
    <t xml:space="preserve">Confirms the sheet's OD formula matches the published result</t>
  </si>
  <si>
    <t xml:space="preserve">TEMA — MINIMUM TUBE WALL (gauge) GUIDANCE</t>
  </si>
  <si>
    <t xml:space="preserve">Commonly specified minimum tube gauges (industry practice). VERIFY against TEMA tube tables (Table D-7 / RCB-2.4) for your class R / C / B.</t>
  </si>
  <si>
    <t xml:space="preserve">Common Minimum Tube Gauge vs Tube OD (nominal/ordered wall)</t>
  </si>
  <si>
    <t xml:space="preserve">Tube OD (in)</t>
  </si>
  <si>
    <t xml:space="preserve">Tube OD (mm)</t>
  </si>
  <si>
    <t xml:space="preserve">Min BWG</t>
  </si>
  <si>
    <t xml:space="preserve">Min Wall (mm)</t>
  </si>
  <si>
    <t xml:space="preserve">Min per TEMA for cleanable; non-ferrous may differ</t>
  </si>
  <si>
    <t xml:space="preserve">Min per TEMA for cleanable</t>
  </si>
  <si>
    <t xml:space="preserve">Most common HX tube size</t>
  </si>
  <si>
    <t xml:space="preserve">TEMA RGP-T-2.4</t>
  </si>
  <si>
    <t xml:space="preserve">Standard tube for process HEs</t>
  </si>
  <si>
    <t xml:space="preserve">TEMA TEMA RGP-T-2.4</t>
  </si>
  <si>
    <t xml:space="preserve">TEMA COMPLIANCE CHECK</t>
  </si>
  <si>
    <t xml:space="preserve">Tube OD (from INPUTS)</t>
  </si>
  <si>
    <t xml:space="preserve">Nominal wall thickness (from INPUTS)</t>
  </si>
  <si>
    <t xml:space="preserve">TEMA minimum wall for this OD (VLOOKUP)</t>
  </si>
  <si>
    <t xml:space="preserve">t_TEMA</t>
  </si>
  <si>
    <t xml:space="preserve">Minimum available net wall = t_nom×(1–MT)</t>
  </si>
  <si>
    <t xml:space="preserve">t_min_avail</t>
  </si>
  <si>
    <t xml:space="preserve">GAUGE CHECK: ordered wall t_nom ≥ min gauge?  (net-wall adequacy is covered by ASME_VIII)</t>
  </si>
  <si>
    <t xml:space="preserve">BWG REFERENCE TABLE (Wall Thickness in mm)</t>
  </si>
  <si>
    <t xml:space="preserve">BWG No.</t>
  </si>
  <si>
    <t xml:space="preserve">Wall (mm)</t>
  </si>
  <si>
    <t xml:space="preserve">API 660 9th EDITION (2015) — TUBE THICKNESS REQUIREMENTS</t>
  </si>
  <si>
    <t xml:space="preserve">Reference: API 660 Table 1 'Minimum Thickness of Tubes'. It is a minimum ORDERED (nominal) wall floor BY MATERIAL CLASS — it does NOT vary with tube OD.</t>
  </si>
  <si>
    <t xml:space="preserve">API 660 TABLE 1: Minimum Thickness of Tubes (by material class)</t>
  </si>
  <si>
    <t xml:space="preserve">Material Class</t>
  </si>
  <si>
    <t xml:space="preserve">Min Wall (in)</t>
  </si>
  <si>
    <t xml:space="preserve">≈ BWG</t>
  </si>
  <si>
    <t xml:space="preserve">Carbon steel, low-alloy steel (&lt;=9% Cr), aluminium &amp; Al alloys</t>
  </si>
  <si>
    <t xml:space="preserve">14 BWG</t>
  </si>
  <si>
    <t xml:space="preserve">Most common class</t>
  </si>
  <si>
    <t xml:space="preserve">Copper alloys &amp; high-alloy (stainless) steels</t>
  </si>
  <si>
    <t xml:space="preserve">~17 BWG</t>
  </si>
  <si>
    <t xml:space="preserve">8th Ed: Cu alloys = 1.65 mm (0.065")</t>
  </si>
  <si>
    <t xml:space="preserve">Titanium &amp; titanium alloys</t>
  </si>
  <si>
    <t xml:space="preserve">~19 BWG</t>
  </si>
  <si>
    <t xml:space="preserve">Thinnest permitted class</t>
  </si>
  <si>
    <t xml:space="preserve">Table 1 is a FLOOR only: tube wall shall be the greater of this value, the ASME VIII pressure-design thickness, and any purchaser-specified corrosion/bend-thinning allowance.</t>
  </si>
  <si>
    <t xml:space="preserve">Topic</t>
  </si>
  <si>
    <t xml:space="preserve">Requirement</t>
  </si>
  <si>
    <t xml:space="preserve">Complied?</t>
  </si>
  <si>
    <t xml:space="preserve">Tubes</t>
  </si>
  <si>
    <t xml:space="preserve">Tubes shall be seamless unless welded tube is specified / agreed</t>
  </si>
  <si>
    <t xml:space="preserve">Yes / To be confirmed</t>
  </si>
  <si>
    <t xml:space="preserve">Thickness</t>
  </si>
  <si>
    <t xml:space="preserve">Wall &gt;= API 660 Table 1 min AND &gt;= ASME VIII pressure-design thickness</t>
  </si>
  <si>
    <t xml:space="preserve">Corrosion</t>
  </si>
  <si>
    <t xml:space="preserve">Add any purchaser-specified tube corrosion allowance on top of Table 1 floor</t>
  </si>
  <si>
    <t xml:space="preserve">U-bends</t>
  </si>
  <si>
    <t xml:space="preserve">U-bend wall after thinning &gt;= pressure-code min + corrosion allowance</t>
  </si>
  <si>
    <t xml:space="preserve">Mill tol.</t>
  </si>
  <si>
    <t xml:space="preserve">Account for wall undertolerance (e.g. 12.5% for many ASTM tube specs)</t>
  </si>
  <si>
    <t xml:space="preserve">Sour svc.</t>
  </si>
  <si>
    <t xml:space="preserve">H2S service: tubes per NACE MR0175 / ISO 15156</t>
  </si>
  <si>
    <t xml:space="preserve">Joints</t>
  </si>
  <si>
    <t xml:space="preserve">Tube-to-tubesheet joint (expanded / strength-welded) per service &amp; TEMA class</t>
  </si>
  <si>
    <t xml:space="preserve">Testing</t>
  </si>
  <si>
    <t xml:space="preserve">Hydrostatic / NDE per ASME VIII and TEMA class as specified</t>
  </si>
  <si>
    <t xml:space="preserve">API 660 WALL THICKNESS COMPLIANCE CHECK</t>
  </si>
  <si>
    <t xml:space="preserve">Nominal (ordered) wall (from INPUTS)</t>
  </si>
  <si>
    <t xml:space="preserve">Tube material (from INPUTS)</t>
  </si>
  <si>
    <t xml:space="preserve">API 660 min — CS/low-alloy/Al class</t>
  </si>
  <si>
    <t xml:space="preserve">t_API_1</t>
  </si>
  <si>
    <t xml:space="preserve">API 660 min — Cu-alloy/stainless class</t>
  </si>
  <si>
    <t xml:space="preserve">t_API_2</t>
  </si>
  <si>
    <t xml:space="preserve">API 660 min — Titanium class</t>
  </si>
  <si>
    <t xml:space="preserve">t_API_3</t>
  </si>
  <si>
    <t xml:space="preserve">API 660 CHECK (CS/low-alloy class): ordered wall t_nom ≥ 2.11 mm (Table 1)?</t>
  </si>
  <si>
    <t xml:space="preserve">For Cu/stainless use row 33 (1.47); for Ti use row 34 (1.07)</t>
  </si>
  <si>
    <t xml:space="preserve">IOGP S-614 — SUPPLEMENTARY SPEC TO API 660 (SHELL &amp; TUBE HEAT EXCHANGERS)</t>
  </si>
  <si>
    <t xml:space="preserve">IOGP S-614 supplements API 660. It requires the minimum tube wall and bend-thinning allowance to be STATED IN THE PURCHASE DOCUMENTS. Items below are TYPICAL considerations - verify against the actual S-614 text &amp; project data sheet.</t>
  </si>
  <si>
    <t xml:space="preserve">IOGP S-614 / PROJECT TUBE CONSIDERATIONS (paraphrased)</t>
  </si>
  <si>
    <t xml:space="preserve">Status</t>
  </si>
  <si>
    <t xml:space="preserve">Tube wall</t>
  </si>
  <si>
    <t xml:space="preserve">Minimum required tube wall thickness shall be stated in the purchase documents (S-614)</t>
  </si>
  <si>
    <t xml:space="preserve">Yes / N/A</t>
  </si>
  <si>
    <t xml:space="preserve">Bend thinning</t>
  </si>
  <si>
    <t xml:space="preserve">Bend-thinning allowance for U-tubes, when applicable, stated in purchase documents</t>
  </si>
  <si>
    <t xml:space="preserve">Base codes</t>
  </si>
  <si>
    <t xml:space="preserve">Supplements API 660 - API 660 Table 1 floor AND ASME VIII pressure design still apply</t>
  </si>
  <si>
    <t xml:space="preserve">Seamless</t>
  </si>
  <si>
    <t xml:space="preserve">Seamless tubes generally required for pressure service unless agreed otherwise</t>
  </si>
  <si>
    <t xml:space="preserve">Sour service</t>
  </si>
  <si>
    <t xml:space="preserve">NDE</t>
  </si>
  <si>
    <t xml:space="preserve">Supplementary NDE (e.g. 100% eddy-current) per project specification</t>
  </si>
  <si>
    <t xml:space="preserve">Material certs</t>
  </si>
  <si>
    <t xml:space="preserve">Mill / material test certificates per EN 10204 3.1/3.2 or ASME as specified</t>
  </si>
  <si>
    <t xml:space="preserve">Data sheet</t>
  </si>
  <si>
    <t xml:space="preserve">All project-specific tube requirements captured on the API 660 / IOGP data sheet</t>
  </si>
  <si>
    <t xml:space="preserve">IOGP MINIMUM WALL THICKNESS CHECK</t>
  </si>
  <si>
    <t xml:space="preserve">API 660 Table 1 floor (CS/low-alloy class)</t>
  </si>
  <si>
    <t xml:space="preserve">t_API</t>
  </si>
  <si>
    <t xml:space="preserve">Project-specified min wall (purchase doc)  &lt;-- EDIT</t>
  </si>
  <si>
    <t xml:space="preserve">t_spec</t>
  </si>
  <si>
    <t xml:space="preserve">Governing IOGP min = MAX(API floor, project)</t>
  </si>
  <si>
    <t xml:space="preserve">t_gov</t>
  </si>
  <si>
    <t xml:space="preserve">IOGP CHECK: ordered wall t_nom ≥ governing min (API floor + project spec)?</t>
  </si>
  <si>
    <t xml:space="preserve">Yellow cell D25 = project value from purchase docs</t>
  </si>
  <si>
    <t xml:space="preserve">TUBE THICKNESS CALCULATION SUMMARY</t>
  </si>
  <si>
    <t xml:space="preserve">TUBE DESIGN SUMMARY — KEY PARAMETERS</t>
  </si>
  <si>
    <t xml:space="preserve">Source</t>
  </si>
  <si>
    <t xml:space="preserve">INPUTS</t>
  </si>
  <si>
    <t xml:space="preserve">Nominal Wall Thickness (proposed)</t>
  </si>
  <si>
    <t xml:space="preserve">Design Internal Pressure</t>
  </si>
  <si>
    <t xml:space="preserve">Allowable Stress</t>
  </si>
  <si>
    <t xml:space="preserve">INPUTS / ASME IID</t>
  </si>
  <si>
    <t xml:space="preserve">Corrosion Allowance (total)</t>
  </si>
  <si>
    <t xml:space="preserve">MINIMUM REQUIRED THICKNESS BY STANDARD</t>
  </si>
  <si>
    <t xml:space="preserve">Standard / Requirement</t>
  </si>
  <si>
    <t xml:space="preserve">Ref.</t>
  </si>
  <si>
    <t xml:space="preserve">Req. Thickness (mm)</t>
  </si>
  <si>
    <t xml:space="preserve">Governs?</t>
  </si>
  <si>
    <t xml:space="preserve">ASME VIII UG-27 Internal Pressure (t_req)</t>
  </si>
  <si>
    <t xml:space="preserve">UG-27</t>
  </si>
  <si>
    <t xml:space="preserve">ASME VIII UG-27 Longitudinal (t_long)</t>
  </si>
  <si>
    <t xml:space="preserve">UG-27c2</t>
  </si>
  <si>
    <t xml:space="preserve">ASME VIII Min nominal = (t_req+CA)/(1–MT)</t>
  </si>
  <si>
    <t xml:space="preserve">UG-31</t>
  </si>
  <si>
    <t xml:space="preserve">TEMA min tube gauge (common practice)</t>
  </si>
  <si>
    <t xml:space="preserve">TEMA</t>
  </si>
  <si>
    <t xml:space="preserve">API 660 Table 1 min (CS/low-alloy class)</t>
  </si>
  <si>
    <t xml:space="preserve">API660 T1</t>
  </si>
  <si>
    <t xml:space="preserve">IOGP S-614 governing min wall</t>
  </si>
  <si>
    <t xml:space="preserve">S-614</t>
  </si>
  <si>
    <t xml:space="preserve">GOVERNING REQUIRED THICKNESS (MAX of all standards)</t>
  </si>
  <si>
    <t xml:space="preserve">mm (governing)</t>
  </si>
  <si>
    <t xml:space="preserve">PROPOSED NOMINAL WALL THICKNESS</t>
  </si>
  <si>
    <t xml:space="preserve">mm (nominal)</t>
  </si>
  <si>
    <t xml:space="preserve">OVERALL RESULT: Proposed t_nom ≥ Governing required thickness?</t>
  </si>
  <si>
    <t xml:space="preserve">MAWP / PRESSURE RATINGS</t>
  </si>
  <si>
    <t xml:space="preserve">MAWP (internal pressure, corroded)</t>
  </si>
  <si>
    <t xml:space="preserve">External pressure allowable P_a</t>
  </si>
  <si>
    <t xml:space="preserve">TUBE BUNDLE SUMMARY</t>
  </si>
  <si>
    <t xml:space="preserve">Tube OD × Wall</t>
  </si>
  <si>
    <t xml:space="preserve">OD×t</t>
  </si>
  <si>
    <t xml:space="preserve">Tube Length</t>
  </si>
  <si>
    <t xml:space="preserve">L</t>
  </si>
  <si>
    <t xml:space="preserve">Shell Inside Dia.</t>
  </si>
  <si>
    <t xml:space="preserve">Total Heat Transfer Area</t>
  </si>
  <si>
    <t xml:space="preserve">A_HT</t>
  </si>
  <si>
    <t xml:space="preserve">DISCLAIMER: This spreadsheet is a calculation aid. Results shall be verified by a qualified engineer against the applicable edition of ASME VIII, TEMA, API 660 and IOGP S-614. The engineer of record is responsible for all design decisions.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</si>
</sst>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.0#"/>
    <numFmt numFmtId="168" formatCode="0.0000"/>
    <numFmt numFmtId="169" formatCode="0.000"/>
    <numFmt numFmtId="170" formatCode="@"/>
    <numFmt numFmtId="171" formatCode="0.000&quot; in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9D9D9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E7E7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F0D9"/>
      </patternFill>
    </fill>
    <fill>
      <patternFill patternType="solid">
        <fgColor rgb="FFFFE7E7"/>
        <bgColor rgb="FFFCE4D6"/>
      </patternFill>
    </fill>
    <fill>
      <patternFill patternType="solid">
        <fgColor rgb="FFFCE4D6"/>
        <bgColor rgb="FFFFE7E7"/>
      </patternFill>
    </fill>
    <fill>
      <patternFill patternType="solid">
        <fgColor rgb="FF9DC3E6"/>
        <bgColor rgb="FFC0C0C0"/>
      </patternFill>
    </fill>
    <fill>
      <patternFill patternType="solid">
        <fgColor rgb="FFE2F0D9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375623"/>
        <sz val="11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FF0000"/>
        <sz val="11"/>
      </font>
      <fill>
        <patternFill>
          <bgColor rgb="FFFFE7E7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FF0000"/>
        <sz val="10"/>
      </font>
      <fill>
        <patternFill>
          <bgColor rgb="FFFFE7E7"/>
        </patternFill>
      </fill>
    </dxf>
    <dxf>
      <font>
        <name val="Arial"/>
        <charset val="1"/>
        <family val="0"/>
        <b val="1"/>
        <color rgb="FFFFFFFF"/>
        <sz val="1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FFFFFF"/>
        <sz val="13"/>
      </font>
      <fill>
        <patternFill>
          <bgColor rgb="FFFFE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E7E7"/>
      <rgbColor rgb="FFDEEA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FF99"/>
      <rgbColor rgb="FF9DC3E6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7323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0"/>
    <col collapsed="false" customWidth="true" hidden="false" outlineLevel="0" max="4" min="4" style="0" width="5"/>
  </cols>
  <sheetData>
    <row r="1" customFormat="false" ht="15" hidden="false" customHeight="true" outlineLevel="0" collapsed="false"/>
    <row r="2" customFormat="false" ht="60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23.8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6" t="s">
        <v>6</v>
      </c>
      <c r="C7" s="7" t="s">
        <v>7</v>
      </c>
    </row>
    <row r="8" customFormat="false" ht="23.85" hidden="false" customHeight="false" outlineLevel="0" collapsed="false">
      <c r="B8" s="4" t="s">
        <v>8</v>
      </c>
      <c r="C8" s="5" t="s">
        <v>9</v>
      </c>
    </row>
    <row r="9" customFormat="false" ht="23.85" hidden="false" customHeight="false" outlineLevel="0" collapsed="false">
      <c r="B9" s="6" t="s">
        <v>10</v>
      </c>
      <c r="C9" s="7" t="s">
        <v>11</v>
      </c>
    </row>
    <row r="11" customFormat="false" ht="15" hidden="false" customHeight="false" outlineLevel="0" collapsed="false">
      <c r="B11" s="3" t="s">
        <v>12</v>
      </c>
      <c r="C11" s="3" t="s">
        <v>13</v>
      </c>
    </row>
    <row r="12" customFormat="false" ht="15" hidden="false" customHeight="false" outlineLevel="0" collapsed="false">
      <c r="B12" s="8" t="s">
        <v>14</v>
      </c>
      <c r="C12" s="9" t="s">
        <v>15</v>
      </c>
    </row>
    <row r="13" customFormat="false" ht="15" hidden="false" customHeight="false" outlineLevel="0" collapsed="false">
      <c r="B13" s="5" t="s">
        <v>16</v>
      </c>
      <c r="C13" s="5" t="s">
        <v>17</v>
      </c>
    </row>
    <row r="14" customFormat="false" ht="15" hidden="false" customHeight="false" outlineLevel="0" collapsed="false">
      <c r="B14" s="10" t="s">
        <v>18</v>
      </c>
      <c r="C14" s="11" t="s">
        <v>19</v>
      </c>
    </row>
    <row r="15" customFormat="false" ht="15" hidden="false" customHeight="false" outlineLevel="0" collapsed="false">
      <c r="B15" s="12" t="s">
        <v>20</v>
      </c>
      <c r="C15" s="13" t="s">
        <v>21</v>
      </c>
    </row>
    <row r="16" customFormat="false" ht="15" hidden="false" customHeight="false" outlineLevel="0" collapsed="false">
      <c r="B16" s="14" t="s">
        <v>22</v>
      </c>
      <c r="C16" s="14" t="s">
        <v>23</v>
      </c>
    </row>
    <row r="18" customFormat="false" ht="15" hidden="false" customHeight="true" outlineLevel="0" collapsed="false">
      <c r="B18" s="15" t="s">
        <v>24</v>
      </c>
      <c r="C18" s="15"/>
    </row>
    <row r="19" customFormat="false" ht="15" hidden="false" customHeight="true" outlineLevel="0" collapsed="false">
      <c r="B19" s="16" t="s">
        <v>25</v>
      </c>
      <c r="C19" s="16"/>
    </row>
    <row r="20" customFormat="false" ht="15" hidden="false" customHeight="true" outlineLevel="0" collapsed="false">
      <c r="B20" s="16" t="s">
        <v>26</v>
      </c>
      <c r="C20" s="16"/>
    </row>
    <row r="21" customFormat="false" ht="15" hidden="false" customHeight="true" outlineLevel="0" collapsed="false">
      <c r="B21" s="16" t="s">
        <v>27</v>
      </c>
      <c r="C21" s="16"/>
    </row>
    <row r="22" customFormat="false" ht="15" hidden="false" customHeight="true" outlineLevel="0" collapsed="false">
      <c r="B22" s="16" t="s">
        <v>28</v>
      </c>
      <c r="C22" s="16"/>
    </row>
    <row r="23" customFormat="false" ht="15" hidden="false" customHeight="true" outlineLevel="0" collapsed="false">
      <c r="B23" s="16" t="s">
        <v>29</v>
      </c>
      <c r="C23" s="16"/>
    </row>
    <row r="24" customFormat="false" ht="15" hidden="false" customHeight="true" outlineLevel="0" collapsed="false">
      <c r="B24" s="16" t="s">
        <v>30</v>
      </c>
      <c r="C24" s="16"/>
    </row>
    <row r="25" customFormat="false" ht="15" hidden="false" customHeight="true" outlineLevel="0" collapsed="false">
      <c r="B25" s="16" t="s">
        <v>31</v>
      </c>
      <c r="C25" s="16"/>
    </row>
    <row r="27" customFormat="false" ht="15" hidden="false" customHeight="false" outlineLevel="0" collapsed="false">
      <c r="B27" s="17" t="s">
        <v>32</v>
      </c>
    </row>
  </sheetData>
  <mergeCells count="10">
    <mergeCell ref="B2:C2"/>
    <mergeCell ref="B3:C3"/>
    <mergeCell ref="B18:C18"/>
    <mergeCell ref="B19:C19"/>
    <mergeCell ref="B20:C20"/>
    <mergeCell ref="B21:C21"/>
    <mergeCell ref="B22:C22"/>
    <mergeCell ref="B23:C23"/>
    <mergeCell ref="B24:C24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B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50"/>
  </cols>
  <sheetData>
    <row r="1" customFormat="false" ht="18" hidden="false" customHeight="true" outlineLevel="0" collapsed="false">
      <c r="B1" s="18" t="s">
        <v>33</v>
      </c>
      <c r="C1" s="18"/>
      <c r="D1" s="18"/>
      <c r="E1" s="18"/>
    </row>
    <row r="2" customFormat="false" ht="18" hidden="false" customHeight="true" outlineLevel="0" collapsed="false"/>
    <row r="3" customFormat="false" ht="18" hidden="false" customHeight="true" outlineLevel="0" collapsed="false">
      <c r="B3" s="19" t="s">
        <v>34</v>
      </c>
      <c r="C3" s="20"/>
      <c r="D3" s="20"/>
      <c r="E3" s="20"/>
    </row>
    <row r="4" customFormat="false" ht="18" hidden="false" customHeight="true" outlineLevel="0" collapsed="false">
      <c r="B4" s="21" t="s">
        <v>35</v>
      </c>
      <c r="C4" s="21"/>
      <c r="D4" s="8" t="s">
        <v>36</v>
      </c>
      <c r="E4" s="22"/>
    </row>
    <row r="5" customFormat="false" ht="18" hidden="false" customHeight="true" outlineLevel="0" collapsed="false">
      <c r="B5" s="21" t="s">
        <v>37</v>
      </c>
      <c r="C5" s="21"/>
      <c r="D5" s="8" t="s">
        <v>38</v>
      </c>
      <c r="E5" s="22"/>
    </row>
    <row r="6" customFormat="false" ht="18" hidden="false" customHeight="true" outlineLevel="0" collapsed="false">
      <c r="B6" s="21" t="s">
        <v>39</v>
      </c>
      <c r="C6" s="21"/>
      <c r="D6" s="8" t="s">
        <v>40</v>
      </c>
      <c r="E6" s="22"/>
    </row>
    <row r="7" customFormat="false" ht="18" hidden="false" customHeight="true" outlineLevel="0" collapsed="false">
      <c r="B7" s="21" t="s">
        <v>41</v>
      </c>
      <c r="C7" s="21"/>
      <c r="D7" s="8" t="s">
        <v>42</v>
      </c>
      <c r="E7" s="22"/>
    </row>
    <row r="8" customFormat="false" ht="18" hidden="false" customHeight="true" outlineLevel="0" collapsed="false">
      <c r="B8" s="21" t="s">
        <v>43</v>
      </c>
      <c r="C8" s="21"/>
      <c r="D8" s="8" t="s">
        <v>44</v>
      </c>
      <c r="E8" s="22"/>
    </row>
    <row r="9" customFormat="false" ht="18" hidden="false" customHeight="true" outlineLevel="0" collapsed="false">
      <c r="B9" s="21" t="s">
        <v>45</v>
      </c>
      <c r="C9" s="21"/>
      <c r="D9" s="8" t="s">
        <v>46</v>
      </c>
      <c r="E9" s="22"/>
    </row>
    <row r="10" customFormat="false" ht="18" hidden="false" customHeight="true" outlineLevel="0" collapsed="false"/>
    <row r="11" customFormat="false" ht="18" hidden="false" customHeight="true" outlineLevel="0" collapsed="false">
      <c r="B11" s="19" t="s">
        <v>47</v>
      </c>
      <c r="C11" s="20"/>
      <c r="D11" s="20"/>
      <c r="E11" s="20"/>
    </row>
    <row r="12" customFormat="false" ht="18" hidden="false" customHeight="true" outlineLevel="0" collapsed="false">
      <c r="B12" s="23" t="s">
        <v>48</v>
      </c>
      <c r="C12" s="23"/>
      <c r="D12" s="23" t="s">
        <v>49</v>
      </c>
      <c r="E12" s="23" t="s">
        <v>50</v>
      </c>
    </row>
    <row r="13" customFormat="false" ht="18" hidden="false" customHeight="true" outlineLevel="0" collapsed="false">
      <c r="B13" s="21" t="s">
        <v>51</v>
      </c>
      <c r="C13" s="24" t="s">
        <v>52</v>
      </c>
      <c r="D13" s="25" t="n">
        <v>19.05</v>
      </c>
      <c r="E13" s="21" t="s">
        <v>53</v>
      </c>
      <c r="F13" s="17" t="s">
        <v>54</v>
      </c>
    </row>
    <row r="14" customFormat="false" ht="18" hidden="false" customHeight="true" outlineLevel="0" collapsed="false">
      <c r="B14" s="21" t="s">
        <v>55</v>
      </c>
      <c r="C14" s="24" t="s">
        <v>56</v>
      </c>
      <c r="D14" s="25" t="n">
        <v>2.11</v>
      </c>
      <c r="E14" s="21" t="s">
        <v>53</v>
      </c>
      <c r="F14" s="17" t="s">
        <v>57</v>
      </c>
    </row>
    <row r="15" customFormat="false" ht="18" hidden="false" customHeight="true" outlineLevel="0" collapsed="false">
      <c r="B15" s="21" t="s">
        <v>58</v>
      </c>
      <c r="C15" s="24" t="s">
        <v>59</v>
      </c>
      <c r="D15" s="26" t="n">
        <f aca="false">D13-2*D14</f>
        <v>14.83</v>
      </c>
      <c r="E15" s="21" t="s">
        <v>53</v>
      </c>
      <c r="F15" s="17" t="s">
        <v>60</v>
      </c>
    </row>
    <row r="16" customFormat="false" ht="18" hidden="false" customHeight="true" outlineLevel="0" collapsed="false">
      <c r="B16" s="21" t="s">
        <v>61</v>
      </c>
      <c r="C16" s="24" t="s">
        <v>62</v>
      </c>
      <c r="D16" s="26" t="n">
        <f aca="false">PI()/4*(D15^2)/1000000</f>
        <v>0.000172731754138021</v>
      </c>
      <c r="E16" s="21" t="s">
        <v>63</v>
      </c>
      <c r="F16" s="17" t="s">
        <v>60</v>
      </c>
    </row>
    <row r="17" customFormat="false" ht="18" hidden="false" customHeight="true" outlineLevel="0" collapsed="false">
      <c r="B17" s="21" t="s">
        <v>64</v>
      </c>
      <c r="C17" s="24" t="s">
        <v>65</v>
      </c>
      <c r="D17" s="25" t="n">
        <v>4880</v>
      </c>
      <c r="E17" s="21" t="s">
        <v>53</v>
      </c>
      <c r="F17" s="17" t="s">
        <v>66</v>
      </c>
    </row>
    <row r="18" customFormat="false" ht="18" hidden="false" customHeight="true" outlineLevel="0" collapsed="false">
      <c r="B18" s="21" t="s">
        <v>67</v>
      </c>
      <c r="C18" s="24" t="s">
        <v>68</v>
      </c>
      <c r="D18" s="25" t="n">
        <v>1220</v>
      </c>
      <c r="E18" s="21" t="s">
        <v>53</v>
      </c>
      <c r="F18" s="17" t="s">
        <v>69</v>
      </c>
    </row>
    <row r="19" customFormat="false" ht="18" hidden="false" customHeight="true" outlineLevel="0" collapsed="false"/>
    <row r="20" customFormat="false" ht="18" hidden="false" customHeight="true" outlineLevel="0" collapsed="false">
      <c r="B20" s="19" t="s">
        <v>70</v>
      </c>
      <c r="C20" s="20"/>
      <c r="D20" s="20"/>
      <c r="E20" s="20"/>
    </row>
    <row r="21" customFormat="false" ht="18" hidden="false" customHeight="true" outlineLevel="0" collapsed="false">
      <c r="B21" s="23" t="s">
        <v>48</v>
      </c>
      <c r="C21" s="23" t="s">
        <v>71</v>
      </c>
      <c r="D21" s="23" t="s">
        <v>49</v>
      </c>
      <c r="E21" s="23" t="s">
        <v>50</v>
      </c>
    </row>
    <row r="22" customFormat="false" ht="18" hidden="false" customHeight="true" outlineLevel="0" collapsed="false">
      <c r="B22" s="21" t="s">
        <v>72</v>
      </c>
      <c r="C22" s="24" t="s">
        <v>73</v>
      </c>
      <c r="D22" s="27" t="n">
        <v>40</v>
      </c>
      <c r="E22" s="21" t="s">
        <v>74</v>
      </c>
      <c r="F22" s="17" t="s">
        <v>75</v>
      </c>
    </row>
    <row r="23" customFormat="false" ht="18" hidden="false" customHeight="true" outlineLevel="0" collapsed="false">
      <c r="B23" s="21" t="s">
        <v>76</v>
      </c>
      <c r="C23" s="24" t="s">
        <v>77</v>
      </c>
      <c r="D23" s="27" t="n">
        <v>0.1</v>
      </c>
      <c r="E23" s="21" t="s">
        <v>74</v>
      </c>
      <c r="F23" s="17" t="s">
        <v>78</v>
      </c>
    </row>
    <row r="24" customFormat="false" ht="18" hidden="false" customHeight="true" outlineLevel="0" collapsed="false">
      <c r="B24" s="21" t="s">
        <v>79</v>
      </c>
      <c r="C24" s="24" t="s">
        <v>80</v>
      </c>
      <c r="D24" s="27" t="n">
        <v>200</v>
      </c>
      <c r="E24" s="21" t="s">
        <v>81</v>
      </c>
      <c r="F24" s="17" t="s">
        <v>82</v>
      </c>
    </row>
    <row r="25" customFormat="false" ht="18" hidden="false" customHeight="true" outlineLevel="0" collapsed="false">
      <c r="B25" s="21" t="s">
        <v>83</v>
      </c>
      <c r="C25" s="24" t="s">
        <v>84</v>
      </c>
      <c r="D25" s="27" t="n">
        <v>38</v>
      </c>
      <c r="E25" s="21" t="s">
        <v>74</v>
      </c>
      <c r="F25" s="17" t="s">
        <v>85</v>
      </c>
    </row>
    <row r="26" customFormat="false" ht="18" hidden="false" customHeight="true" outlineLevel="0" collapsed="false">
      <c r="B26" s="21" t="s">
        <v>86</v>
      </c>
      <c r="C26" s="24" t="s">
        <v>87</v>
      </c>
      <c r="D26" s="27" t="n">
        <v>185</v>
      </c>
      <c r="E26" s="21" t="s">
        <v>81</v>
      </c>
      <c r="F26" s="17" t="s">
        <v>85</v>
      </c>
    </row>
    <row r="27" customFormat="false" ht="18" hidden="false" customHeight="true" outlineLevel="0" collapsed="false"/>
    <row r="28" customFormat="false" ht="18" hidden="false" customHeight="true" outlineLevel="0" collapsed="false">
      <c r="B28" s="19" t="s">
        <v>88</v>
      </c>
      <c r="C28" s="20"/>
      <c r="D28" s="20"/>
      <c r="E28" s="20"/>
    </row>
    <row r="29" customFormat="false" ht="18" hidden="false" customHeight="true" outlineLevel="0" collapsed="false">
      <c r="B29" s="23" t="s">
        <v>48</v>
      </c>
      <c r="C29" s="23" t="s">
        <v>71</v>
      </c>
      <c r="D29" s="23" t="s">
        <v>49</v>
      </c>
      <c r="E29" s="23" t="s">
        <v>50</v>
      </c>
    </row>
    <row r="30" customFormat="false" ht="18" hidden="false" customHeight="true" outlineLevel="0" collapsed="false">
      <c r="B30" s="21" t="s">
        <v>89</v>
      </c>
      <c r="C30" s="24" t="s">
        <v>90</v>
      </c>
      <c r="D30" s="28" t="s">
        <v>91</v>
      </c>
      <c r="E30" s="21" t="s">
        <v>92</v>
      </c>
      <c r="F30" s="17" t="s">
        <v>93</v>
      </c>
    </row>
    <row r="31" customFormat="false" ht="18" hidden="false" customHeight="true" outlineLevel="0" collapsed="false">
      <c r="B31" s="21" t="s">
        <v>94</v>
      </c>
      <c r="C31" s="24" t="s">
        <v>95</v>
      </c>
      <c r="D31" s="28" t="n">
        <v>92.6</v>
      </c>
      <c r="E31" s="21" t="s">
        <v>96</v>
      </c>
      <c r="F31" s="17" t="s">
        <v>97</v>
      </c>
    </row>
    <row r="32" customFormat="false" ht="18" hidden="false" customHeight="true" outlineLevel="0" collapsed="false">
      <c r="B32" s="21" t="s">
        <v>98</v>
      </c>
      <c r="C32" s="24" t="s">
        <v>99</v>
      </c>
      <c r="D32" s="28" t="n">
        <v>193</v>
      </c>
      <c r="E32" s="21" t="s">
        <v>100</v>
      </c>
      <c r="F32" s="17" t="s">
        <v>101</v>
      </c>
    </row>
    <row r="33" customFormat="false" ht="18" hidden="false" customHeight="true" outlineLevel="0" collapsed="false">
      <c r="B33" s="21" t="s">
        <v>102</v>
      </c>
      <c r="C33" s="24" t="s">
        <v>103</v>
      </c>
      <c r="D33" s="28" t="n">
        <v>0.3</v>
      </c>
      <c r="E33" s="21" t="s">
        <v>92</v>
      </c>
      <c r="F33" s="17" t="s">
        <v>104</v>
      </c>
    </row>
    <row r="34" customFormat="false" ht="18" hidden="false" customHeight="true" outlineLevel="0" collapsed="false"/>
    <row r="35" customFormat="false" ht="18" hidden="false" customHeight="true" outlineLevel="0" collapsed="false">
      <c r="B35" s="19" t="s">
        <v>105</v>
      </c>
      <c r="C35" s="20"/>
      <c r="D35" s="20"/>
      <c r="E35" s="20"/>
    </row>
    <row r="36" customFormat="false" ht="18" hidden="false" customHeight="true" outlineLevel="0" collapsed="false">
      <c r="B36" s="23" t="s">
        <v>48</v>
      </c>
      <c r="C36" s="23" t="s">
        <v>71</v>
      </c>
      <c r="D36" s="23" t="s">
        <v>49</v>
      </c>
      <c r="E36" s="23" t="s">
        <v>50</v>
      </c>
    </row>
    <row r="37" customFormat="false" ht="18" hidden="false" customHeight="true" outlineLevel="0" collapsed="false">
      <c r="B37" s="21" t="s">
        <v>106</v>
      </c>
      <c r="C37" s="24" t="s">
        <v>107</v>
      </c>
      <c r="D37" s="29" t="n">
        <v>0.5</v>
      </c>
      <c r="E37" s="21" t="s">
        <v>53</v>
      </c>
      <c r="F37" s="17" t="s">
        <v>108</v>
      </c>
    </row>
    <row r="38" customFormat="false" ht="18" hidden="false" customHeight="true" outlineLevel="0" collapsed="false">
      <c r="B38" s="21" t="s">
        <v>109</v>
      </c>
      <c r="C38" s="24" t="s">
        <v>110</v>
      </c>
      <c r="D38" s="29" t="n">
        <v>0.5</v>
      </c>
      <c r="E38" s="21" t="s">
        <v>53</v>
      </c>
      <c r="F38" s="17" t="s">
        <v>111</v>
      </c>
    </row>
    <row r="39" customFormat="false" ht="18" hidden="false" customHeight="true" outlineLevel="0" collapsed="false">
      <c r="B39" s="21" t="s">
        <v>112</v>
      </c>
      <c r="C39" s="24" t="s">
        <v>113</v>
      </c>
      <c r="D39" s="29" t="n">
        <v>12.5</v>
      </c>
      <c r="E39" s="21" t="s">
        <v>114</v>
      </c>
      <c r="F39" s="17" t="s">
        <v>115</v>
      </c>
    </row>
    <row r="40" customFormat="false" ht="18" hidden="false" customHeight="true" outlineLevel="0" collapsed="false">
      <c r="B40" s="21" t="s">
        <v>116</v>
      </c>
      <c r="C40" s="24" t="s">
        <v>117</v>
      </c>
      <c r="D40" s="29" t="n">
        <v>1</v>
      </c>
      <c r="E40" s="21" t="s">
        <v>92</v>
      </c>
      <c r="F40" s="17" t="s">
        <v>118</v>
      </c>
    </row>
    <row r="41" customFormat="false" ht="18" hidden="false" customHeight="true" outlineLevel="0" collapsed="false">
      <c r="B41" s="21" t="s">
        <v>119</v>
      </c>
      <c r="C41" s="24" t="s">
        <v>120</v>
      </c>
      <c r="D41" s="29" t="n">
        <v>1</v>
      </c>
      <c r="E41" s="21" t="s">
        <v>92</v>
      </c>
      <c r="F41" s="17" t="s">
        <v>121</v>
      </c>
    </row>
    <row r="42" customFormat="false" ht="18" hidden="false" customHeight="true" outlineLevel="0" collapsed="false"/>
    <row r="43" customFormat="false" ht="18" hidden="false" customHeight="true" outlineLevel="0" collapsed="false">
      <c r="B43" s="19" t="s">
        <v>122</v>
      </c>
      <c r="C43" s="20"/>
      <c r="D43" s="20"/>
      <c r="E43" s="20"/>
    </row>
    <row r="44" customFormat="false" ht="18" hidden="false" customHeight="true" outlineLevel="0" collapsed="false">
      <c r="B44" s="23" t="s">
        <v>48</v>
      </c>
      <c r="C44" s="23" t="s">
        <v>71</v>
      </c>
      <c r="D44" s="23" t="s">
        <v>49</v>
      </c>
      <c r="E44" s="23" t="s">
        <v>50</v>
      </c>
    </row>
    <row r="45" customFormat="false" ht="18" hidden="false" customHeight="true" outlineLevel="0" collapsed="false">
      <c r="B45" s="21" t="s">
        <v>123</v>
      </c>
      <c r="C45" s="24" t="s">
        <v>124</v>
      </c>
      <c r="D45" s="28" t="n">
        <v>400</v>
      </c>
      <c r="E45" s="21" t="s">
        <v>92</v>
      </c>
      <c r="F45" s="17" t="s">
        <v>125</v>
      </c>
    </row>
    <row r="46" customFormat="false" ht="18" hidden="false" customHeight="true" outlineLevel="0" collapsed="false">
      <c r="B46" s="21" t="s">
        <v>126</v>
      </c>
      <c r="C46" s="24" t="s">
        <v>127</v>
      </c>
      <c r="D46" s="28" t="n">
        <v>2</v>
      </c>
      <c r="E46" s="21" t="s">
        <v>92</v>
      </c>
      <c r="F46" s="17" t="s">
        <v>128</v>
      </c>
    </row>
    <row r="47" customFormat="false" ht="18" hidden="false" customHeight="true" outlineLevel="0" collapsed="false">
      <c r="B47" s="21" t="s">
        <v>129</v>
      </c>
      <c r="C47" s="24" t="s">
        <v>130</v>
      </c>
      <c r="D47" s="28" t="n">
        <v>25.4</v>
      </c>
      <c r="E47" s="21" t="s">
        <v>53</v>
      </c>
      <c r="F47" s="17" t="s">
        <v>131</v>
      </c>
    </row>
    <row r="48" customFormat="false" ht="18" hidden="false" customHeight="true" outlineLevel="0" collapsed="false">
      <c r="B48" s="21" t="s">
        <v>132</v>
      </c>
      <c r="C48" s="24" t="s">
        <v>133</v>
      </c>
      <c r="D48" s="8" t="s">
        <v>134</v>
      </c>
      <c r="E48" s="21" t="s">
        <v>92</v>
      </c>
      <c r="F48" s="17" t="s">
        <v>135</v>
      </c>
    </row>
    <row r="49" customFormat="false" ht="18" hidden="false" customHeight="true" outlineLevel="0" collapsed="false">
      <c r="B49" s="21" t="s">
        <v>136</v>
      </c>
      <c r="C49" s="24" t="s">
        <v>137</v>
      </c>
      <c r="D49" s="28" t="n">
        <v>500</v>
      </c>
      <c r="E49" s="21" t="s">
        <v>53</v>
      </c>
      <c r="F49" s="17"/>
    </row>
    <row r="50" customFormat="false" ht="18" hidden="false" customHeight="true" outlineLevel="0" collapsed="false">
      <c r="B50" s="21" t="s">
        <v>138</v>
      </c>
      <c r="C50" s="24" t="s">
        <v>92</v>
      </c>
      <c r="D50" s="8" t="s">
        <v>139</v>
      </c>
      <c r="E50" s="21" t="s">
        <v>92</v>
      </c>
      <c r="F50" s="17"/>
    </row>
    <row r="51" customFormat="false" ht="18" hidden="false" customHeight="true" outlineLevel="0" collapsed="false">
      <c r="B51" s="21" t="s">
        <v>140</v>
      </c>
      <c r="C51" s="24" t="s">
        <v>92</v>
      </c>
      <c r="D51" s="8" t="s">
        <v>141</v>
      </c>
      <c r="E51" s="21" t="s">
        <v>92</v>
      </c>
      <c r="F51" s="17"/>
    </row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</sheetData>
  <mergeCells count="8">
    <mergeCell ref="B1:E1"/>
    <mergeCell ref="B4:C4"/>
    <mergeCell ref="B5:C5"/>
    <mergeCell ref="B6:C6"/>
    <mergeCell ref="B7:C7"/>
    <mergeCell ref="B8:C8"/>
    <mergeCell ref="B9:C9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12" min="5" style="0" width="10"/>
    <col collapsed="false" customWidth="true" hidden="false" outlineLevel="0" max="13" min="13" style="0" width="18"/>
  </cols>
  <sheetData>
    <row r="1" customFormat="false" ht="15" hidden="false" customHeight="true" outlineLevel="0" collapsed="false">
      <c r="B1" s="18" t="s">
        <v>142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05.95" hidden="false" customHeight="false" outlineLevel="0" collapsed="false">
      <c r="B2" s="30" t="s">
        <v>143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customFormat="false" ht="23.85" hidden="false" customHeight="false" outlineLevel="0" collapsed="false">
      <c r="B3" s="32" t="s">
        <v>144</v>
      </c>
      <c r="C3" s="32" t="s">
        <v>145</v>
      </c>
      <c r="D3" s="32" t="s">
        <v>146</v>
      </c>
      <c r="E3" s="32" t="s">
        <v>147</v>
      </c>
      <c r="F3" s="32" t="s">
        <v>148</v>
      </c>
      <c r="G3" s="32" t="s">
        <v>149</v>
      </c>
      <c r="H3" s="32" t="s">
        <v>150</v>
      </c>
      <c r="I3" s="32" t="s">
        <v>151</v>
      </c>
      <c r="J3" s="32" t="s">
        <v>152</v>
      </c>
      <c r="K3" s="32" t="s">
        <v>153</v>
      </c>
      <c r="L3" s="32" t="s">
        <v>154</v>
      </c>
      <c r="M3" s="32" t="s">
        <v>155</v>
      </c>
    </row>
    <row r="4" customFormat="false" ht="22.35" hidden="false" customHeight="false" outlineLevel="0" collapsed="false">
      <c r="B4" s="33" t="s">
        <v>156</v>
      </c>
      <c r="C4" s="33" t="s">
        <v>157</v>
      </c>
      <c r="D4" s="33" t="n">
        <v>325</v>
      </c>
      <c r="E4" s="34" t="n">
        <v>92.6</v>
      </c>
      <c r="F4" s="34" t="n">
        <v>92.6</v>
      </c>
      <c r="G4" s="34" t="n">
        <v>92.6</v>
      </c>
      <c r="H4" s="34" t="n">
        <v>92.6</v>
      </c>
      <c r="I4" s="34" t="n">
        <v>92.6</v>
      </c>
      <c r="J4" s="34" t="n">
        <v>92.6</v>
      </c>
      <c r="K4" s="34" t="n">
        <v>92.6</v>
      </c>
      <c r="L4" s="34" t="n">
        <v>92.6</v>
      </c>
      <c r="M4" s="34" t="s">
        <v>158</v>
      </c>
    </row>
    <row r="5" customFormat="false" ht="22.35" hidden="false" customHeight="false" outlineLevel="0" collapsed="false">
      <c r="B5" s="35" t="s">
        <v>156</v>
      </c>
      <c r="C5" s="35" t="s">
        <v>159</v>
      </c>
      <c r="D5" s="35" t="n">
        <v>325</v>
      </c>
      <c r="E5" s="36" t="n">
        <v>92.6</v>
      </c>
      <c r="F5" s="36" t="n">
        <v>92.6</v>
      </c>
      <c r="G5" s="36" t="n">
        <v>92.6</v>
      </c>
      <c r="H5" s="36" t="n">
        <v>92.6</v>
      </c>
      <c r="I5" s="36" t="n">
        <v>92.6</v>
      </c>
      <c r="J5" s="36" t="n">
        <v>92.6</v>
      </c>
      <c r="K5" s="36" t="n">
        <v>92.6</v>
      </c>
      <c r="L5" s="36" t="n">
        <v>92.6</v>
      </c>
      <c r="M5" s="36" t="s">
        <v>158</v>
      </c>
    </row>
    <row r="6" customFormat="false" ht="22.35" hidden="false" customHeight="false" outlineLevel="0" collapsed="false">
      <c r="B6" s="33" t="s">
        <v>160</v>
      </c>
      <c r="C6" s="33" t="s">
        <v>161</v>
      </c>
      <c r="D6" s="33" t="n">
        <v>380</v>
      </c>
      <c r="E6" s="34" t="n">
        <v>108.6</v>
      </c>
      <c r="F6" s="34" t="n">
        <v>108.6</v>
      </c>
      <c r="G6" s="34" t="n">
        <v>108.6</v>
      </c>
      <c r="H6" s="34" t="n">
        <v>108.6</v>
      </c>
      <c r="I6" s="34" t="n">
        <v>108.6</v>
      </c>
      <c r="J6" s="34" t="n">
        <v>108.6</v>
      </c>
      <c r="K6" s="34" t="n">
        <v>108.6</v>
      </c>
      <c r="L6" s="34" t="n">
        <v>105</v>
      </c>
      <c r="M6" s="34" t="s">
        <v>162</v>
      </c>
    </row>
    <row r="7" customFormat="false" ht="22.35" hidden="false" customHeight="false" outlineLevel="0" collapsed="false">
      <c r="B7" s="35" t="s">
        <v>163</v>
      </c>
      <c r="C7" s="35" t="s">
        <v>164</v>
      </c>
      <c r="D7" s="35" t="n">
        <v>415</v>
      </c>
      <c r="E7" s="36" t="n">
        <v>118.6</v>
      </c>
      <c r="F7" s="36" t="n">
        <v>118.6</v>
      </c>
      <c r="G7" s="36" t="n">
        <v>118.6</v>
      </c>
      <c r="H7" s="36" t="n">
        <v>118.6</v>
      </c>
      <c r="I7" s="36" t="n">
        <v>118.6</v>
      </c>
      <c r="J7" s="36" t="n">
        <v>118.6</v>
      </c>
      <c r="K7" s="36" t="n">
        <v>118.6</v>
      </c>
      <c r="L7" s="36" t="n">
        <v>118.6</v>
      </c>
      <c r="M7" s="36" t="s">
        <v>165</v>
      </c>
    </row>
    <row r="8" customFormat="false" ht="22.35" hidden="false" customHeight="false" outlineLevel="0" collapsed="false">
      <c r="B8" s="33" t="s">
        <v>166</v>
      </c>
      <c r="C8" s="33" t="s">
        <v>167</v>
      </c>
      <c r="D8" s="33" t="n">
        <v>415</v>
      </c>
      <c r="E8" s="34" t="n">
        <v>118.6</v>
      </c>
      <c r="F8" s="34" t="n">
        <v>118.6</v>
      </c>
      <c r="G8" s="34" t="n">
        <v>118.6</v>
      </c>
      <c r="H8" s="34" t="n">
        <v>118.6</v>
      </c>
      <c r="I8" s="34" t="n">
        <v>118.6</v>
      </c>
      <c r="J8" s="34" t="n">
        <v>118.6</v>
      </c>
      <c r="K8" s="34" t="n">
        <v>118.6</v>
      </c>
      <c r="L8" s="34" t="n">
        <v>118.6</v>
      </c>
      <c r="M8" s="34" t="s">
        <v>165</v>
      </c>
    </row>
    <row r="9" customFormat="false" ht="15" hidden="false" customHeight="false" outlineLevel="0" collapsed="false">
      <c r="B9" s="35" t="s">
        <v>168</v>
      </c>
      <c r="C9" s="35" t="s">
        <v>169</v>
      </c>
      <c r="D9" s="35" t="n">
        <v>415</v>
      </c>
      <c r="E9" s="36" t="n">
        <v>118.6</v>
      </c>
      <c r="F9" s="36" t="n">
        <v>118.6</v>
      </c>
      <c r="G9" s="36" t="n">
        <v>118.6</v>
      </c>
      <c r="H9" s="36" t="n">
        <v>118.6</v>
      </c>
      <c r="I9" s="36" t="n">
        <v>118.6</v>
      </c>
      <c r="J9" s="36" t="n">
        <v>118.6</v>
      </c>
      <c r="K9" s="36" t="n">
        <v>118.6</v>
      </c>
      <c r="L9" s="36" t="n">
        <v>118.6</v>
      </c>
      <c r="M9" s="36" t="s">
        <v>170</v>
      </c>
    </row>
    <row r="10" customFormat="false" ht="15" hidden="false" customHeight="false" outlineLevel="0" collapsed="false">
      <c r="B10" s="33" t="s">
        <v>171</v>
      </c>
      <c r="C10" s="33" t="s">
        <v>172</v>
      </c>
      <c r="D10" s="33" t="n">
        <v>585</v>
      </c>
      <c r="E10" s="34" t="n">
        <v>167.1</v>
      </c>
      <c r="F10" s="34" t="n">
        <v>167.1</v>
      </c>
      <c r="G10" s="34" t="n">
        <v>167.1</v>
      </c>
      <c r="H10" s="34" t="n">
        <v>167.1</v>
      </c>
      <c r="I10" s="34" t="n">
        <v>167.1</v>
      </c>
      <c r="J10" s="34" t="n">
        <v>167.1</v>
      </c>
      <c r="K10" s="34" t="n">
        <v>167.1</v>
      </c>
      <c r="L10" s="34" t="n">
        <v>167.1</v>
      </c>
      <c r="M10" s="34" t="s">
        <v>173</v>
      </c>
    </row>
    <row r="11" customFormat="false" ht="15" hidden="false" customHeight="false" outlineLevel="0" collapsed="false">
      <c r="B11" s="35" t="s">
        <v>174</v>
      </c>
      <c r="C11" s="35" t="s">
        <v>175</v>
      </c>
      <c r="D11" s="35" t="n">
        <v>515</v>
      </c>
      <c r="E11" s="36" t="n">
        <v>137.9</v>
      </c>
      <c r="F11" s="36" t="n">
        <v>137.9</v>
      </c>
      <c r="G11" s="36" t="n">
        <v>137.9</v>
      </c>
      <c r="H11" s="36" t="n">
        <v>131.7</v>
      </c>
      <c r="I11" s="36" t="n">
        <v>122</v>
      </c>
      <c r="J11" s="36" t="n">
        <v>116.5</v>
      </c>
      <c r="K11" s="36" t="n">
        <v>110.3</v>
      </c>
      <c r="L11" s="36" t="n">
        <v>104.8</v>
      </c>
      <c r="M11" s="36" t="s">
        <v>176</v>
      </c>
    </row>
    <row r="12" customFormat="false" ht="22.35" hidden="false" customHeight="false" outlineLevel="0" collapsed="false">
      <c r="B12" s="33" t="s">
        <v>177</v>
      </c>
      <c r="C12" s="33" t="s">
        <v>178</v>
      </c>
      <c r="D12" s="33" t="n">
        <v>515</v>
      </c>
      <c r="E12" s="34" t="n">
        <v>137.9</v>
      </c>
      <c r="F12" s="34" t="n">
        <v>137.9</v>
      </c>
      <c r="G12" s="34" t="n">
        <v>137.9</v>
      </c>
      <c r="H12" s="34" t="n">
        <v>131.7</v>
      </c>
      <c r="I12" s="34" t="n">
        <v>125.5</v>
      </c>
      <c r="J12" s="34" t="n">
        <v>119.3</v>
      </c>
      <c r="K12" s="34" t="n">
        <v>113</v>
      </c>
      <c r="L12" s="34" t="n">
        <v>108.3</v>
      </c>
      <c r="M12" s="34" t="s">
        <v>179</v>
      </c>
    </row>
    <row r="13" customFormat="false" ht="15" hidden="false" customHeight="false" outlineLevel="0" collapsed="false">
      <c r="B13" s="35" t="s">
        <v>180</v>
      </c>
      <c r="C13" s="35" t="s">
        <v>181</v>
      </c>
      <c r="D13" s="35" t="n">
        <v>515</v>
      </c>
      <c r="E13" s="36" t="n">
        <v>137.9</v>
      </c>
      <c r="F13" s="36" t="n">
        <v>137.9</v>
      </c>
      <c r="G13" s="36" t="n">
        <v>137.9</v>
      </c>
      <c r="H13" s="36" t="n">
        <v>131.7</v>
      </c>
      <c r="I13" s="36" t="n">
        <v>122</v>
      </c>
      <c r="J13" s="36" t="n">
        <v>116.5</v>
      </c>
      <c r="K13" s="36" t="n">
        <v>110.3</v>
      </c>
      <c r="L13" s="36" t="n">
        <v>104.8</v>
      </c>
      <c r="M13" s="36" t="s">
        <v>182</v>
      </c>
    </row>
    <row r="14" customFormat="false" ht="15" hidden="false" customHeight="false" outlineLevel="0" collapsed="false">
      <c r="B14" s="33" t="s">
        <v>183</v>
      </c>
      <c r="C14" s="33" t="s">
        <v>184</v>
      </c>
      <c r="D14" s="33" t="n">
        <v>515</v>
      </c>
      <c r="E14" s="34" t="n">
        <v>137.9</v>
      </c>
      <c r="F14" s="34" t="n">
        <v>137.9</v>
      </c>
      <c r="G14" s="34" t="n">
        <v>137.9</v>
      </c>
      <c r="H14" s="34" t="n">
        <v>131.7</v>
      </c>
      <c r="I14" s="34" t="n">
        <v>122</v>
      </c>
      <c r="J14" s="34" t="n">
        <v>116.5</v>
      </c>
      <c r="K14" s="34" t="n">
        <v>110.3</v>
      </c>
      <c r="L14" s="34" t="n">
        <v>104.8</v>
      </c>
      <c r="M14" s="34" t="s">
        <v>185</v>
      </c>
    </row>
    <row r="15" customFormat="false" ht="15" hidden="false" customHeight="false" outlineLevel="0" collapsed="false">
      <c r="B15" s="35" t="s">
        <v>186</v>
      </c>
      <c r="C15" s="35" t="s">
        <v>187</v>
      </c>
      <c r="D15" s="35" t="n">
        <v>620</v>
      </c>
      <c r="E15" s="36" t="n">
        <v>172.4</v>
      </c>
      <c r="F15" s="36" t="n">
        <v>172.4</v>
      </c>
      <c r="G15" s="36" t="n">
        <v>172.4</v>
      </c>
      <c r="H15" s="36" t="n">
        <v>172.4</v>
      </c>
      <c r="I15" s="36" t="n">
        <v>165.5</v>
      </c>
      <c r="J15" s="36" t="n">
        <v>155.2</v>
      </c>
      <c r="K15" s="36" t="n">
        <v>144.8</v>
      </c>
      <c r="L15" s="36" t="s">
        <v>92</v>
      </c>
      <c r="M15" s="36" t="s">
        <v>188</v>
      </c>
    </row>
    <row r="16" customFormat="false" ht="15" hidden="false" customHeight="false" outlineLevel="0" collapsed="false">
      <c r="B16" s="33" t="s">
        <v>189</v>
      </c>
      <c r="C16" s="33" t="s">
        <v>190</v>
      </c>
      <c r="D16" s="33" t="n">
        <v>795</v>
      </c>
      <c r="E16" s="34" t="n">
        <v>206.8</v>
      </c>
      <c r="F16" s="34" t="n">
        <v>206.8</v>
      </c>
      <c r="G16" s="34" t="n">
        <v>206.8</v>
      </c>
      <c r="H16" s="34" t="n">
        <v>196.5</v>
      </c>
      <c r="I16" s="34" t="n">
        <v>186.2</v>
      </c>
      <c r="J16" s="34" t="n">
        <v>176</v>
      </c>
      <c r="K16" s="34" t="n">
        <v>165.5</v>
      </c>
      <c r="L16" s="34" t="s">
        <v>92</v>
      </c>
      <c r="M16" s="34" t="s">
        <v>191</v>
      </c>
    </row>
    <row r="17" customFormat="false" ht="15" hidden="false" customHeight="false" outlineLevel="0" collapsed="false">
      <c r="B17" s="35" t="s">
        <v>192</v>
      </c>
      <c r="C17" s="35" t="s">
        <v>193</v>
      </c>
      <c r="D17" s="35" t="n">
        <v>586</v>
      </c>
      <c r="E17" s="36" t="n">
        <v>131</v>
      </c>
      <c r="F17" s="36" t="n">
        <v>131</v>
      </c>
      <c r="G17" s="36" t="n">
        <v>131</v>
      </c>
      <c r="H17" s="36" t="n">
        <v>131</v>
      </c>
      <c r="I17" s="36" t="n">
        <v>131</v>
      </c>
      <c r="J17" s="36" t="n">
        <v>131</v>
      </c>
      <c r="K17" s="36" t="n">
        <v>131</v>
      </c>
      <c r="L17" s="36" t="n">
        <v>124</v>
      </c>
      <c r="M17" s="36" t="s">
        <v>194</v>
      </c>
    </row>
    <row r="18" customFormat="false" ht="15" hidden="false" customHeight="false" outlineLevel="0" collapsed="false">
      <c r="B18" s="33" t="s">
        <v>195</v>
      </c>
      <c r="C18" s="33" t="s">
        <v>196</v>
      </c>
      <c r="D18" s="33" t="n">
        <v>827</v>
      </c>
      <c r="E18" s="34" t="n">
        <v>206.8</v>
      </c>
      <c r="F18" s="34" t="n">
        <v>206.8</v>
      </c>
      <c r="G18" s="34" t="n">
        <v>206.8</v>
      </c>
      <c r="H18" s="34" t="n">
        <v>206.8</v>
      </c>
      <c r="I18" s="34" t="n">
        <v>206.8</v>
      </c>
      <c r="J18" s="34" t="n">
        <v>206.8</v>
      </c>
      <c r="K18" s="34" t="n">
        <v>206.8</v>
      </c>
      <c r="L18" s="34" t="n">
        <v>206.8</v>
      </c>
      <c r="M18" s="34" t="s">
        <v>197</v>
      </c>
    </row>
    <row r="19" customFormat="false" ht="15" hidden="false" customHeight="false" outlineLevel="0" collapsed="false">
      <c r="B19" s="35" t="s">
        <v>198</v>
      </c>
      <c r="C19" s="35" t="s">
        <v>199</v>
      </c>
      <c r="D19" s="35" t="n">
        <v>275</v>
      </c>
      <c r="E19" s="36" t="n">
        <v>62.1</v>
      </c>
      <c r="F19" s="36" t="n">
        <v>58.6</v>
      </c>
      <c r="G19" s="36" t="n">
        <v>55.2</v>
      </c>
      <c r="H19" s="36" t="n">
        <v>52.4</v>
      </c>
      <c r="I19" s="36" t="n">
        <v>48.3</v>
      </c>
      <c r="J19" s="36" t="s">
        <v>92</v>
      </c>
      <c r="K19" s="36" t="s">
        <v>92</v>
      </c>
      <c r="L19" s="36" t="s">
        <v>92</v>
      </c>
      <c r="M19" s="36" t="s">
        <v>200</v>
      </c>
    </row>
    <row r="20" customFormat="false" ht="15" hidden="false" customHeight="false" outlineLevel="0" collapsed="false">
      <c r="B20" s="33" t="s">
        <v>201</v>
      </c>
      <c r="C20" s="33" t="s">
        <v>202</v>
      </c>
      <c r="D20" s="33" t="n">
        <v>345</v>
      </c>
      <c r="E20" s="34" t="n">
        <v>75.8</v>
      </c>
      <c r="F20" s="34" t="n">
        <v>72.4</v>
      </c>
      <c r="G20" s="34" t="n">
        <v>69</v>
      </c>
      <c r="H20" s="34" t="n">
        <v>65.5</v>
      </c>
      <c r="I20" s="34" t="n">
        <v>60.7</v>
      </c>
      <c r="J20" s="34" t="s">
        <v>92</v>
      </c>
      <c r="K20" s="34" t="s">
        <v>92</v>
      </c>
      <c r="L20" s="34" t="s">
        <v>92</v>
      </c>
      <c r="M20" s="34" t="s">
        <v>203</v>
      </c>
    </row>
    <row r="21" customFormat="false" ht="15" hidden="false" customHeight="false" outlineLevel="0" collapsed="false">
      <c r="B21" s="35" t="s">
        <v>204</v>
      </c>
      <c r="C21" s="35" t="s">
        <v>205</v>
      </c>
      <c r="D21" s="35" t="n">
        <v>370</v>
      </c>
      <c r="E21" s="36" t="n">
        <v>82.7</v>
      </c>
      <c r="F21" s="36" t="n">
        <v>80</v>
      </c>
      <c r="G21" s="36" t="n">
        <v>75.8</v>
      </c>
      <c r="H21" s="36" t="s">
        <v>92</v>
      </c>
      <c r="I21" s="36" t="s">
        <v>92</v>
      </c>
      <c r="J21" s="36" t="s">
        <v>92</v>
      </c>
      <c r="K21" s="36" t="s">
        <v>92</v>
      </c>
      <c r="L21" s="36" t="s">
        <v>92</v>
      </c>
      <c r="M21" s="36" t="s">
        <v>206</v>
      </c>
    </row>
    <row r="22" customFormat="false" ht="15" hidden="false" customHeight="false" outlineLevel="0" collapsed="false">
      <c r="B22" s="33" t="s">
        <v>207</v>
      </c>
      <c r="C22" s="33" t="s">
        <v>208</v>
      </c>
      <c r="D22" s="33" t="n">
        <v>345</v>
      </c>
      <c r="E22" s="34" t="n">
        <v>75.8</v>
      </c>
      <c r="F22" s="34" t="n">
        <v>75.8</v>
      </c>
      <c r="G22" s="34" t="n">
        <v>68.9</v>
      </c>
      <c r="H22" s="34" t="n">
        <v>62</v>
      </c>
      <c r="I22" s="34" t="n">
        <v>55.2</v>
      </c>
      <c r="J22" s="34" t="s">
        <v>92</v>
      </c>
      <c r="K22" s="34" t="s">
        <v>92</v>
      </c>
      <c r="L22" s="34" t="s">
        <v>92</v>
      </c>
      <c r="M22" s="34" t="s">
        <v>209</v>
      </c>
    </row>
    <row r="24" customFormat="false" ht="22.35" hidden="false" customHeight="true" outlineLevel="0" collapsed="false">
      <c r="B24" s="37" t="s">
        <v>210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</row>
  </sheetData>
  <mergeCells count="2">
    <mergeCell ref="B1:M1"/>
    <mergeCell ref="B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55"/>
  </cols>
  <sheetData>
    <row r="1" customFormat="false" ht="19.5" hidden="false" customHeight="true" outlineLevel="0" collapsed="false">
      <c r="B1" s="18" t="s">
        <v>211</v>
      </c>
      <c r="C1" s="18"/>
      <c r="D1" s="18"/>
      <c r="E1" s="18"/>
    </row>
    <row r="2" customFormat="false" ht="19.5" hidden="false" customHeight="true" outlineLevel="0" collapsed="false">
      <c r="B2" s="30" t="s">
        <v>212</v>
      </c>
      <c r="C2" s="31"/>
      <c r="D2" s="31"/>
      <c r="E2" s="31"/>
    </row>
    <row r="3" customFormat="false" ht="19.5" hidden="false" customHeight="true" outlineLevel="0" collapsed="false"/>
    <row r="4" customFormat="false" ht="19.5" hidden="false" customHeight="true" outlineLevel="0" collapsed="false">
      <c r="B4" s="23" t="s">
        <v>48</v>
      </c>
      <c r="C4" s="23" t="s">
        <v>71</v>
      </c>
      <c r="D4" s="23" t="s">
        <v>49</v>
      </c>
      <c r="E4" s="23" t="s">
        <v>50</v>
      </c>
    </row>
    <row r="5" customFormat="false" ht="19.5" hidden="false" customHeight="true" outlineLevel="0" collapsed="false">
      <c r="B5" s="21" t="s">
        <v>213</v>
      </c>
      <c r="C5" s="38" t="s">
        <v>52</v>
      </c>
      <c r="D5" s="39" t="n">
        <f aca="false">INPUTS!D13</f>
        <v>19.05</v>
      </c>
      <c r="E5" s="21" t="s">
        <v>53</v>
      </c>
    </row>
    <row r="6" customFormat="false" ht="19.5" hidden="false" customHeight="true" outlineLevel="0" collapsed="false">
      <c r="B6" s="21" t="s">
        <v>214</v>
      </c>
      <c r="C6" s="38" t="s">
        <v>56</v>
      </c>
      <c r="D6" s="39" t="n">
        <f aca="false">INPUTS!D14</f>
        <v>2.11</v>
      </c>
      <c r="E6" s="21" t="s">
        <v>53</v>
      </c>
    </row>
    <row r="7" customFormat="false" ht="19.5" hidden="false" customHeight="true" outlineLevel="0" collapsed="false">
      <c r="B7" s="21" t="s">
        <v>215</v>
      </c>
      <c r="C7" s="38" t="s">
        <v>73</v>
      </c>
      <c r="D7" s="39" t="n">
        <f aca="false">INPUTS!D22*0.1</f>
        <v>4</v>
      </c>
      <c r="E7" s="21" t="s">
        <v>96</v>
      </c>
    </row>
    <row r="8" customFormat="false" ht="19.5" hidden="false" customHeight="true" outlineLevel="0" collapsed="false">
      <c r="B8" s="21" t="s">
        <v>216</v>
      </c>
      <c r="C8" s="38" t="s">
        <v>77</v>
      </c>
      <c r="D8" s="39" t="n">
        <f aca="false">INPUTS!D23*0.1</f>
        <v>0.01</v>
      </c>
      <c r="E8" s="21" t="s">
        <v>96</v>
      </c>
    </row>
    <row r="9" customFormat="false" ht="19.5" hidden="false" customHeight="true" outlineLevel="0" collapsed="false">
      <c r="B9" s="21" t="s">
        <v>217</v>
      </c>
      <c r="C9" s="38" t="s">
        <v>95</v>
      </c>
      <c r="D9" s="39" t="n">
        <f aca="false">INPUTS!D31</f>
        <v>92.6</v>
      </c>
      <c r="E9" s="21" t="s">
        <v>96</v>
      </c>
    </row>
    <row r="10" customFormat="false" ht="19.5" hidden="false" customHeight="true" outlineLevel="0" collapsed="false">
      <c r="B10" s="21" t="s">
        <v>116</v>
      </c>
      <c r="C10" s="38" t="s">
        <v>117</v>
      </c>
      <c r="D10" s="39" t="n">
        <f aca="false">INPUTS!D40</f>
        <v>1</v>
      </c>
      <c r="E10" s="21" t="s">
        <v>92</v>
      </c>
    </row>
    <row r="11" customFormat="false" ht="19.5" hidden="false" customHeight="true" outlineLevel="0" collapsed="false">
      <c r="B11" s="21" t="s">
        <v>218</v>
      </c>
      <c r="C11" s="38" t="s">
        <v>219</v>
      </c>
      <c r="D11" s="39" t="n">
        <f aca="false">INPUTS!D37+INPUTS!D38</f>
        <v>1</v>
      </c>
      <c r="E11" s="21" t="s">
        <v>53</v>
      </c>
    </row>
    <row r="12" customFormat="false" ht="19.5" hidden="false" customHeight="true" outlineLevel="0" collapsed="false">
      <c r="B12" s="21" t="s">
        <v>112</v>
      </c>
      <c r="C12" s="38" t="s">
        <v>113</v>
      </c>
      <c r="D12" s="39" t="n">
        <f aca="false">INPUTS!D39/100</f>
        <v>0.125</v>
      </c>
      <c r="E12" s="21" t="s">
        <v>220</v>
      </c>
    </row>
    <row r="13" customFormat="false" ht="19.5" hidden="false" customHeight="true" outlineLevel="0" collapsed="false">
      <c r="B13" s="21" t="s">
        <v>221</v>
      </c>
      <c r="C13" s="38" t="s">
        <v>222</v>
      </c>
      <c r="D13" s="39" t="n">
        <f aca="false">INPUTS!D32*1000</f>
        <v>193000</v>
      </c>
      <c r="E13" s="21" t="s">
        <v>96</v>
      </c>
    </row>
    <row r="14" customFormat="false" ht="19.5" hidden="false" customHeight="true" outlineLevel="0" collapsed="false">
      <c r="B14" s="21" t="s">
        <v>102</v>
      </c>
      <c r="C14" s="38" t="s">
        <v>103</v>
      </c>
      <c r="D14" s="39" t="n">
        <f aca="false">INPUTS!D33</f>
        <v>0.3</v>
      </c>
      <c r="E14" s="21" t="s">
        <v>92</v>
      </c>
    </row>
    <row r="15" customFormat="false" ht="19.5" hidden="false" customHeight="true" outlineLevel="0" collapsed="false">
      <c r="B15" s="21" t="s">
        <v>67</v>
      </c>
      <c r="C15" s="38" t="s">
        <v>68</v>
      </c>
      <c r="D15" s="39" t="n">
        <f aca="false">INPUTS!D18</f>
        <v>1220</v>
      </c>
      <c r="E15" s="21" t="s">
        <v>53</v>
      </c>
    </row>
    <row r="16" customFormat="false" ht="19.5" hidden="false" customHeight="true" outlineLevel="0" collapsed="false"/>
    <row r="17" customFormat="false" ht="19.5" hidden="false" customHeight="true" outlineLevel="0" collapsed="false">
      <c r="B17" s="23" t="s">
        <v>223</v>
      </c>
      <c r="C17" s="23" t="s">
        <v>71</v>
      </c>
      <c r="D17" s="23" t="s">
        <v>224</v>
      </c>
      <c r="E17" s="23" t="s">
        <v>50</v>
      </c>
    </row>
    <row r="18" customFormat="false" ht="19.5" hidden="false" customHeight="true" outlineLevel="0" collapsed="false">
      <c r="B18" s="40" t="s">
        <v>225</v>
      </c>
      <c r="C18" s="38" t="s">
        <v>226</v>
      </c>
      <c r="D18" s="41" t="n">
        <f aca="false">D7*D5/(2*(D9*D10+0.4*D7))</f>
        <v>0.404458598726115</v>
      </c>
      <c r="E18" s="21" t="s">
        <v>53</v>
      </c>
      <c r="F18" s="17" t="s">
        <v>227</v>
      </c>
    </row>
    <row r="19" customFormat="false" ht="19.5" hidden="false" customHeight="true" outlineLevel="0" collapsed="false">
      <c r="B19" s="40" t="s">
        <v>228</v>
      </c>
      <c r="C19" s="38" t="s">
        <v>229</v>
      </c>
      <c r="D19" s="41" t="n">
        <f aca="false">(D18+D11)/(1-D12)</f>
        <v>1.60509554140127</v>
      </c>
      <c r="E19" s="21" t="s">
        <v>53</v>
      </c>
      <c r="F19" s="17" t="s">
        <v>230</v>
      </c>
    </row>
    <row r="20" customFormat="false" ht="19.5" hidden="false" customHeight="true" outlineLevel="0" collapsed="false">
      <c r="B20" s="40" t="s">
        <v>231</v>
      </c>
      <c r="C20" s="38" t="s">
        <v>232</v>
      </c>
      <c r="D20" s="41" t="n">
        <f aca="false">D6*(1-D12)-D11</f>
        <v>0.84625</v>
      </c>
      <c r="E20" s="21" t="s">
        <v>53</v>
      </c>
      <c r="F20" s="17" t="s">
        <v>233</v>
      </c>
    </row>
    <row r="21" customFormat="false" ht="19.5" hidden="false" customHeight="true" outlineLevel="0" collapsed="false">
      <c r="B21" s="40" t="s">
        <v>234</v>
      </c>
      <c r="C21" s="38" t="s">
        <v>235</v>
      </c>
      <c r="D21" s="41" t="n">
        <f aca="false">2*D9*D10*D20/(D5-0.8*D20)</f>
        <v>8.53020736950961</v>
      </c>
      <c r="E21" s="21" t="s">
        <v>96</v>
      </c>
      <c r="F21" s="17" t="s">
        <v>236</v>
      </c>
    </row>
    <row r="22" customFormat="false" ht="19.5" hidden="false" customHeight="true" outlineLevel="0" collapsed="false">
      <c r="B22" s="40" t="s">
        <v>237</v>
      </c>
      <c r="C22" s="38" t="s">
        <v>238</v>
      </c>
      <c r="D22" s="41" t="n">
        <f aca="false">D21/0.1</f>
        <v>85.3020736950961</v>
      </c>
      <c r="E22" s="21" t="s">
        <v>74</v>
      </c>
      <c r="F22" s="17"/>
    </row>
    <row r="23" customFormat="false" ht="19.5" hidden="false" customHeight="true" outlineLevel="0" collapsed="false">
      <c r="B23" s="42" t="s">
        <v>239</v>
      </c>
      <c r="C23" s="42"/>
      <c r="D23" s="43" t="str">
        <f aca="false">IF(D20&gt;=D18,"PASS","FAIL")</f>
        <v>PASS</v>
      </c>
      <c r="E23" s="44"/>
    </row>
    <row r="24" customFormat="false" ht="19.5" hidden="false" customHeight="true" outlineLevel="0" collapsed="false"/>
    <row r="25" customFormat="false" ht="19.5" hidden="false" customHeight="true" outlineLevel="0" collapsed="false">
      <c r="B25" s="23" t="s">
        <v>223</v>
      </c>
      <c r="C25" s="23" t="s">
        <v>71</v>
      </c>
      <c r="D25" s="23" t="s">
        <v>224</v>
      </c>
      <c r="E25" s="23" t="s">
        <v>50</v>
      </c>
    </row>
    <row r="26" customFormat="false" ht="19.5" hidden="false" customHeight="true" outlineLevel="0" collapsed="false">
      <c r="B26" s="40" t="s">
        <v>240</v>
      </c>
      <c r="C26" s="38" t="s">
        <v>241</v>
      </c>
      <c r="D26" s="39" t="n">
        <f aca="false">D5/D20</f>
        <v>22.5110782865583</v>
      </c>
      <c r="E26" s="21" t="s">
        <v>92</v>
      </c>
      <c r="F26" s="17" t="s">
        <v>242</v>
      </c>
    </row>
    <row r="27" customFormat="false" ht="19.5" hidden="false" customHeight="true" outlineLevel="0" collapsed="false">
      <c r="B27" s="40" t="s">
        <v>243</v>
      </c>
      <c r="C27" s="38" t="s">
        <v>244</v>
      </c>
      <c r="D27" s="39" t="n">
        <f aca="false">D15/D5</f>
        <v>64.0419947506562</v>
      </c>
      <c r="E27" s="21" t="s">
        <v>92</v>
      </c>
      <c r="F27" s="17" t="s">
        <v>245</v>
      </c>
    </row>
    <row r="28" customFormat="false" ht="19.5" hidden="false" customHeight="true" outlineLevel="0" collapsed="false">
      <c r="B28" s="40" t="s">
        <v>246</v>
      </c>
      <c r="C28" s="38" t="s">
        <v>247</v>
      </c>
      <c r="D28" s="39" t="n">
        <f aca="false">0.125/(D27/D26)</f>
        <v>0.0439381189916943</v>
      </c>
      <c r="E28" s="21" t="s">
        <v>92</v>
      </c>
      <c r="F28" s="17" t="s">
        <v>248</v>
      </c>
    </row>
    <row r="29" customFormat="false" ht="19.5" hidden="false" customHeight="true" outlineLevel="0" collapsed="false">
      <c r="B29" s="40" t="s">
        <v>249</v>
      </c>
      <c r="C29" s="38" t="s">
        <v>250</v>
      </c>
      <c r="D29" s="39" t="n">
        <f aca="false">0.9*D13*(D20/D5)*D28</f>
        <v>339.035348360656</v>
      </c>
      <c r="E29" s="21" t="s">
        <v>96</v>
      </c>
      <c r="F29" s="17" t="s">
        <v>251</v>
      </c>
    </row>
    <row r="30" customFormat="false" ht="19.5" hidden="false" customHeight="true" outlineLevel="0" collapsed="false">
      <c r="B30" s="40" t="s">
        <v>252</v>
      </c>
      <c r="C30" s="38" t="s">
        <v>253</v>
      </c>
      <c r="D30" s="39" t="n">
        <f aca="false">D29/(0.75*D26)</f>
        <v>20.0810963114754</v>
      </c>
      <c r="E30" s="21" t="s">
        <v>96</v>
      </c>
      <c r="F30" s="17" t="s">
        <v>254</v>
      </c>
    </row>
    <row r="31" customFormat="false" ht="19.5" hidden="false" customHeight="true" outlineLevel="0" collapsed="false">
      <c r="B31" s="40" t="s">
        <v>255</v>
      </c>
      <c r="C31" s="38" t="s">
        <v>256</v>
      </c>
      <c r="D31" s="39" t="n">
        <f aca="false">D9*D20/(0.5*D5)</f>
        <v>8.22706036745407</v>
      </c>
      <c r="E31" s="21" t="s">
        <v>96</v>
      </c>
      <c r="F31" s="17" t="s">
        <v>257</v>
      </c>
    </row>
    <row r="32" customFormat="false" ht="19.5" hidden="false" customHeight="true" outlineLevel="0" collapsed="false">
      <c r="B32" s="40" t="s">
        <v>258</v>
      </c>
      <c r="C32" s="38" t="s">
        <v>259</v>
      </c>
      <c r="D32" s="39" t="n">
        <f aca="false">MIN(D30,D31)</f>
        <v>8.22706036745407</v>
      </c>
      <c r="E32" s="21" t="s">
        <v>96</v>
      </c>
      <c r="F32" s="17" t="s">
        <v>260</v>
      </c>
    </row>
    <row r="33" customFormat="false" ht="19.5" hidden="false" customHeight="true" outlineLevel="0" collapsed="false">
      <c r="B33" s="42" t="s">
        <v>261</v>
      </c>
      <c r="C33" s="42"/>
      <c r="D33" s="43" t="str">
        <f aca="false">IF(D32&gt;=D8,"PASS","FAIL")</f>
        <v>PASS</v>
      </c>
      <c r="E33" s="33" t="str">
        <f aca="false">_xlfn.CONCAT("P_a=",TEXT(D32,"0.000")," MPa  vs  P_e=",TEXT(D8,"0.000")," MPa")</f>
        <v>P_a=8.227 MPa  vs  P_e=0.010 MPa</v>
      </c>
    </row>
    <row r="34" customFormat="false" ht="19.5" hidden="false" customHeight="true" outlineLevel="0" collapsed="false"/>
    <row r="35" customFormat="false" ht="19.5" hidden="false" customHeight="true" outlineLevel="0" collapsed="false">
      <c r="B35" s="45" t="s">
        <v>262</v>
      </c>
      <c r="C35" s="45"/>
      <c r="D35" s="45"/>
      <c r="E35" s="45"/>
      <c r="F35" s="45"/>
    </row>
    <row r="36" customFormat="false" ht="19.5" hidden="false" customHeight="true" outlineLevel="0" collapsed="false"/>
    <row r="37" customFormat="false" ht="19.5" hidden="false" customHeight="true" outlineLevel="0" collapsed="false">
      <c r="B37" s="23" t="s">
        <v>223</v>
      </c>
      <c r="C37" s="23" t="s">
        <v>71</v>
      </c>
      <c r="D37" s="23" t="s">
        <v>224</v>
      </c>
      <c r="E37" s="23" t="s">
        <v>50</v>
      </c>
    </row>
    <row r="38" customFormat="false" ht="19.5" hidden="false" customHeight="true" outlineLevel="0" collapsed="false">
      <c r="B38" s="40" t="s">
        <v>263</v>
      </c>
      <c r="C38" s="38" t="s">
        <v>264</v>
      </c>
      <c r="D38" s="41" t="n">
        <f aca="false">D7*D5/(4*D9*D10-0.8*D7)</f>
        <v>0.207516339869281</v>
      </c>
      <c r="E38" s="21" t="s">
        <v>53</v>
      </c>
      <c r="F38" s="17" t="s">
        <v>265</v>
      </c>
    </row>
    <row r="39" customFormat="false" ht="19.5" hidden="false" customHeight="true" outlineLevel="0" collapsed="false">
      <c r="B39" s="40" t="s">
        <v>266</v>
      </c>
      <c r="C39" s="38" t="s">
        <v>267</v>
      </c>
      <c r="D39" s="41" t="n">
        <f aca="false">MAX(D18,D38)</f>
        <v>0.404458598726115</v>
      </c>
      <c r="E39" s="21" t="s">
        <v>53</v>
      </c>
      <c r="F39" s="17" t="s">
        <v>268</v>
      </c>
    </row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>
      <c r="B42" s="19" t="s">
        <v>269</v>
      </c>
      <c r="C42" s="20"/>
      <c r="D42" s="20"/>
      <c r="E42" s="20"/>
    </row>
    <row r="43" customFormat="false" ht="19.5" hidden="false" customHeight="true" outlineLevel="0" collapsed="false">
      <c r="B43" s="23" t="s">
        <v>270</v>
      </c>
      <c r="C43" s="23" t="s">
        <v>71</v>
      </c>
      <c r="D43" s="23" t="s">
        <v>224</v>
      </c>
      <c r="E43" s="23" t="s">
        <v>50</v>
      </c>
    </row>
    <row r="44" customFormat="false" ht="19.5" hidden="false" customHeight="true" outlineLevel="0" collapsed="false">
      <c r="B44" s="40" t="s">
        <v>271</v>
      </c>
      <c r="C44" s="38" t="s">
        <v>92</v>
      </c>
      <c r="D44" s="46" t="s">
        <v>92</v>
      </c>
      <c r="E44" s="21" t="s">
        <v>92</v>
      </c>
      <c r="F44" s="17" t="s">
        <v>272</v>
      </c>
    </row>
    <row r="45" customFormat="false" ht="19.5" hidden="false" customHeight="true" outlineLevel="0" collapsed="false">
      <c r="B45" s="40" t="s">
        <v>273</v>
      </c>
      <c r="C45" s="38" t="s">
        <v>274</v>
      </c>
      <c r="D45" s="47" t="n">
        <f aca="false">1.6*1000/(138*0.85-0.6*1.6)</f>
        <v>13.752793536187</v>
      </c>
      <c r="E45" s="21" t="s">
        <v>53</v>
      </c>
      <c r="F45" s="17" t="s">
        <v>275</v>
      </c>
    </row>
    <row r="46" customFormat="false" ht="19.5" hidden="false" customHeight="true" outlineLevel="0" collapsed="false">
      <c r="B46" s="40" t="s">
        <v>276</v>
      </c>
      <c r="C46" s="38" t="s">
        <v>277</v>
      </c>
      <c r="D46" s="47" t="n">
        <f aca="false">1.6*2020/(2*(138*0.85+0.4*1.6))</f>
        <v>13.7018823130405</v>
      </c>
      <c r="E46" s="21" t="s">
        <v>53</v>
      </c>
      <c r="F46" s="17" t="s">
        <v>278</v>
      </c>
    </row>
    <row r="47" customFormat="false" ht="19.5" hidden="false" customHeight="true" outlineLevel="0" collapsed="false">
      <c r="B47" s="40" t="s">
        <v>279</v>
      </c>
      <c r="C47" s="38" t="s">
        <v>280</v>
      </c>
      <c r="D47" s="46" t="str">
        <f aca="false">IF(ABS(D45-D46)/D45&lt;0.01,"VALIDATED","REVIEW")</f>
        <v>VALIDATED</v>
      </c>
      <c r="E47" s="21" t="s">
        <v>92</v>
      </c>
      <c r="F47" s="17" t="s">
        <v>281</v>
      </c>
    </row>
    <row r="48" customFormat="false" ht="19.5" hidden="false" customHeight="true" outlineLevel="0" collapsed="false"/>
  </sheetData>
  <mergeCells count="4">
    <mergeCell ref="B1:E1"/>
    <mergeCell ref="B23:C23"/>
    <mergeCell ref="B33:C33"/>
    <mergeCell ref="B35:F35"/>
  </mergeCells>
  <conditionalFormatting sqref="D23">
    <cfRule type="expression" priority="2" aboveAverage="0" equalAverage="0" bottom="0" percent="0" rank="0" text="" dxfId="0">
      <formula>D23="PASS"</formula>
    </cfRule>
    <cfRule type="expression" priority="3" aboveAverage="0" equalAverage="0" bottom="0" percent="0" rank="0" text="" dxfId="1">
      <formula>D23="FAIL"</formula>
    </cfRule>
  </conditionalFormatting>
  <conditionalFormatting sqref="D33">
    <cfRule type="expression" priority="4" aboveAverage="0" equalAverage="0" bottom="0" percent="0" rank="0" text="" dxfId="0">
      <formula>D33="PASS"</formula>
    </cfRule>
    <cfRule type="expression" priority="5" aboveAverage="0" equalAverage="0" bottom="0" percent="0" rank="0" text="" dxfId="1">
      <formula>D33="FAIL"</formula>
    </cfRule>
  </conditionalFormatting>
  <conditionalFormatting sqref="D47">
    <cfRule type="expression" priority="6" aboveAverage="0" equalAverage="0" bottom="0" percent="0" rank="0" text="" dxfId="2">
      <formula>D47="VALIDATED"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8" hidden="false" customHeight="true" outlineLevel="0" collapsed="false">
      <c r="B1" s="18" t="s">
        <v>282</v>
      </c>
      <c r="C1" s="18"/>
      <c r="D1" s="18"/>
      <c r="E1" s="18"/>
    </row>
    <row r="2" customFormat="false" ht="18" hidden="false" customHeight="true" outlineLevel="0" collapsed="false">
      <c r="B2" s="30" t="s">
        <v>283</v>
      </c>
      <c r="C2" s="31"/>
      <c r="D2" s="31"/>
      <c r="E2" s="31"/>
    </row>
    <row r="3" customFormat="false" ht="18" hidden="false" customHeight="true" outlineLevel="0" collapsed="false"/>
    <row r="4" customFormat="false" ht="18" hidden="false" customHeight="true" outlineLevel="0" collapsed="false">
      <c r="B4" s="19" t="s">
        <v>284</v>
      </c>
      <c r="C4" s="20"/>
      <c r="D4" s="20"/>
      <c r="E4" s="20"/>
      <c r="F4" s="20"/>
      <c r="G4" s="20"/>
    </row>
    <row r="5" customFormat="false" ht="18" hidden="false" customHeight="true" outlineLevel="0" collapsed="false">
      <c r="B5" s="23" t="s">
        <v>285</v>
      </c>
      <c r="C5" s="23" t="s">
        <v>286</v>
      </c>
      <c r="D5" s="23" t="s">
        <v>287</v>
      </c>
      <c r="E5" s="23" t="s">
        <v>288</v>
      </c>
      <c r="F5" s="23" t="s">
        <v>155</v>
      </c>
    </row>
    <row r="6" customFormat="false" ht="18" hidden="false" customHeight="true" outlineLevel="0" collapsed="false">
      <c r="B6" s="48" t="n">
        <v>0.5</v>
      </c>
      <c r="C6" s="49" t="n">
        <v>12.7</v>
      </c>
      <c r="D6" s="50" t="n">
        <v>18</v>
      </c>
      <c r="E6" s="49" t="n">
        <v>1.245</v>
      </c>
      <c r="F6" s="51" t="s">
        <v>289</v>
      </c>
    </row>
    <row r="7" customFormat="false" ht="18" hidden="false" customHeight="true" outlineLevel="0" collapsed="false">
      <c r="B7" s="52" t="n">
        <v>0.625</v>
      </c>
      <c r="C7" s="53" t="n">
        <v>15.875</v>
      </c>
      <c r="D7" s="54" t="n">
        <v>18</v>
      </c>
      <c r="E7" s="53" t="n">
        <v>1.245</v>
      </c>
      <c r="F7" s="55" t="s">
        <v>290</v>
      </c>
    </row>
    <row r="8" customFormat="false" ht="18" hidden="false" customHeight="true" outlineLevel="0" collapsed="false">
      <c r="B8" s="48" t="n">
        <v>0.75</v>
      </c>
      <c r="C8" s="49" t="n">
        <v>19.05</v>
      </c>
      <c r="D8" s="50" t="n">
        <v>16</v>
      </c>
      <c r="E8" s="49" t="n">
        <v>1.651</v>
      </c>
      <c r="F8" s="51" t="s">
        <v>291</v>
      </c>
    </row>
    <row r="9" customFormat="false" ht="18" hidden="false" customHeight="true" outlineLevel="0" collapsed="false">
      <c r="B9" s="52" t="n">
        <v>0.875</v>
      </c>
      <c r="C9" s="53" t="n">
        <v>22.225</v>
      </c>
      <c r="D9" s="54" t="n">
        <v>16</v>
      </c>
      <c r="E9" s="53" t="n">
        <v>1.651</v>
      </c>
      <c r="F9" s="55" t="s">
        <v>292</v>
      </c>
    </row>
    <row r="10" customFormat="false" ht="18" hidden="false" customHeight="true" outlineLevel="0" collapsed="false">
      <c r="B10" s="48" t="n">
        <v>1</v>
      </c>
      <c r="C10" s="49" t="n">
        <v>25.4</v>
      </c>
      <c r="D10" s="50" t="n">
        <v>14</v>
      </c>
      <c r="E10" s="49" t="n">
        <v>2.108</v>
      </c>
      <c r="F10" s="51" t="s">
        <v>293</v>
      </c>
    </row>
    <row r="11" customFormat="false" ht="18" hidden="false" customHeight="true" outlineLevel="0" collapsed="false">
      <c r="B11" s="52" t="n">
        <v>1.25</v>
      </c>
      <c r="C11" s="53" t="n">
        <v>31.75</v>
      </c>
      <c r="D11" s="54" t="n">
        <v>14</v>
      </c>
      <c r="E11" s="53" t="n">
        <v>2.108</v>
      </c>
      <c r="F11" s="55" t="s">
        <v>294</v>
      </c>
    </row>
    <row r="12" customFormat="false" ht="18" hidden="false" customHeight="true" outlineLevel="0" collapsed="false">
      <c r="B12" s="48" t="n">
        <v>1.5</v>
      </c>
      <c r="C12" s="49" t="n">
        <v>38.1</v>
      </c>
      <c r="D12" s="50" t="n">
        <v>12</v>
      </c>
      <c r="E12" s="49" t="n">
        <v>2.769</v>
      </c>
      <c r="F12" s="51" t="s">
        <v>292</v>
      </c>
    </row>
    <row r="13" customFormat="false" ht="18" hidden="false" customHeight="true" outlineLevel="0" collapsed="false">
      <c r="B13" s="52" t="n">
        <v>2</v>
      </c>
      <c r="C13" s="53" t="n">
        <v>50.8</v>
      </c>
      <c r="D13" s="54" t="n">
        <v>12</v>
      </c>
      <c r="E13" s="53" t="n">
        <v>2.769</v>
      </c>
      <c r="F13" s="55" t="s">
        <v>292</v>
      </c>
    </row>
    <row r="14" customFormat="false" ht="18" hidden="false" customHeight="true" outlineLevel="0" collapsed="false">
      <c r="B14" s="48" t="n">
        <v>2.5</v>
      </c>
      <c r="C14" s="49" t="n">
        <v>63.5</v>
      </c>
      <c r="D14" s="50" t="n">
        <v>10</v>
      </c>
      <c r="E14" s="49" t="n">
        <v>3.404</v>
      </c>
      <c r="F14" s="51" t="s">
        <v>292</v>
      </c>
    </row>
    <row r="15" customFormat="false" ht="18" hidden="false" customHeight="true" outlineLevel="0" collapsed="false">
      <c r="B15" s="52" t="n">
        <v>3</v>
      </c>
      <c r="C15" s="53" t="n">
        <v>76.2</v>
      </c>
      <c r="D15" s="54" t="n">
        <v>10</v>
      </c>
      <c r="E15" s="53" t="n">
        <v>3.404</v>
      </c>
      <c r="F15" s="55" t="s">
        <v>292</v>
      </c>
    </row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>
      <c r="B18" s="19" t="s">
        <v>295</v>
      </c>
      <c r="C18" s="20"/>
      <c r="D18" s="20"/>
      <c r="E18" s="20"/>
    </row>
    <row r="19" customFormat="false" ht="18" hidden="false" customHeight="true" outlineLevel="0" collapsed="false">
      <c r="B19" s="23" t="s">
        <v>48</v>
      </c>
      <c r="C19" s="23" t="s">
        <v>71</v>
      </c>
      <c r="D19" s="23" t="s">
        <v>49</v>
      </c>
      <c r="E19" s="23" t="s">
        <v>50</v>
      </c>
    </row>
    <row r="20" customFormat="false" ht="18" hidden="false" customHeight="true" outlineLevel="0" collapsed="false">
      <c r="B20" s="21" t="s">
        <v>296</v>
      </c>
      <c r="C20" s="38" t="s">
        <v>52</v>
      </c>
      <c r="D20" s="41" t="n">
        <f aca="false">INPUTS!D13</f>
        <v>19.05</v>
      </c>
      <c r="E20" s="21" t="s">
        <v>53</v>
      </c>
    </row>
    <row r="21" customFormat="false" ht="18" hidden="false" customHeight="true" outlineLevel="0" collapsed="false">
      <c r="B21" s="21" t="s">
        <v>297</v>
      </c>
      <c r="C21" s="38" t="s">
        <v>56</v>
      </c>
      <c r="D21" s="41" t="n">
        <f aca="false">INPUTS!D14</f>
        <v>2.11</v>
      </c>
      <c r="E21" s="21" t="s">
        <v>53</v>
      </c>
    </row>
    <row r="22" customFormat="false" ht="18" hidden="false" customHeight="true" outlineLevel="0" collapsed="false">
      <c r="B22" s="21" t="s">
        <v>298</v>
      </c>
      <c r="C22" s="38" t="s">
        <v>299</v>
      </c>
      <c r="D22" s="41" t="n">
        <f aca="false">IFERROR(INDEX(E6:E15,MATCH(D20,C6:C15,0)),"OD not in TEMA table")</f>
        <v>1.651</v>
      </c>
      <c r="E22" s="21" t="s">
        <v>53</v>
      </c>
    </row>
    <row r="23" customFormat="false" ht="18" hidden="false" customHeight="true" outlineLevel="0" collapsed="false">
      <c r="B23" s="21" t="s">
        <v>300</v>
      </c>
      <c r="C23" s="38" t="s">
        <v>301</v>
      </c>
      <c r="D23" s="41" t="n">
        <f aca="false">INPUTS!D14*(1-INPUTS!D39/100)</f>
        <v>1.84625</v>
      </c>
      <c r="E23" s="21" t="s">
        <v>53</v>
      </c>
    </row>
    <row r="24" customFormat="false" ht="18" hidden="false" customHeight="true" outlineLevel="0" collapsed="false">
      <c r="B24" s="42" t="s">
        <v>302</v>
      </c>
      <c r="C24" s="42"/>
      <c r="D24" s="43" t="str">
        <f aca="false">IF(ISNUMBER(D22),IF(D21&gt;=D22,"PASS","FAIL"),"N/A - check OD")</f>
        <v>PASS</v>
      </c>
      <c r="E24" s="44"/>
    </row>
    <row r="25" customFormat="false" ht="18" hidden="false" customHeight="true" outlineLevel="0" collapsed="false"/>
    <row r="26" customFormat="false" ht="18" hidden="false" customHeight="true" outlineLevel="0" collapsed="false">
      <c r="B26" s="19" t="s">
        <v>303</v>
      </c>
      <c r="C26" s="20"/>
      <c r="D26" s="20"/>
      <c r="E26" s="20"/>
      <c r="F26" s="20"/>
    </row>
    <row r="27" customFormat="false" ht="18" hidden="false" customHeight="true" outlineLevel="0" collapsed="false">
      <c r="B27" s="23" t="s">
        <v>304</v>
      </c>
      <c r="C27" s="23" t="s">
        <v>305</v>
      </c>
      <c r="D27" s="23" t="s">
        <v>304</v>
      </c>
      <c r="E27" s="23" t="s">
        <v>305</v>
      </c>
      <c r="F27" s="23" t="s">
        <v>304</v>
      </c>
      <c r="G27" s="23" t="s">
        <v>305</v>
      </c>
    </row>
    <row r="28" customFormat="false" ht="18" hidden="false" customHeight="true" outlineLevel="0" collapsed="false">
      <c r="B28" s="34" t="n">
        <v>7</v>
      </c>
      <c r="C28" s="56" t="n">
        <v>4.572</v>
      </c>
      <c r="D28" s="34" t="n">
        <v>8</v>
      </c>
      <c r="E28" s="56" t="n">
        <v>4.191</v>
      </c>
      <c r="F28" s="34" t="n">
        <v>9</v>
      </c>
      <c r="G28" s="56" t="n">
        <v>3.759</v>
      </c>
    </row>
    <row r="29" customFormat="false" ht="18" hidden="false" customHeight="true" outlineLevel="0" collapsed="false">
      <c r="B29" s="36" t="n">
        <v>10</v>
      </c>
      <c r="C29" s="57" t="n">
        <v>3.404</v>
      </c>
      <c r="D29" s="36" t="n">
        <v>11</v>
      </c>
      <c r="E29" s="57" t="n">
        <v>3.048</v>
      </c>
      <c r="F29" s="36" t="n">
        <v>12</v>
      </c>
      <c r="G29" s="57" t="n">
        <v>2.769</v>
      </c>
    </row>
    <row r="30" customFormat="false" ht="18" hidden="false" customHeight="true" outlineLevel="0" collapsed="false">
      <c r="B30" s="34" t="n">
        <v>13</v>
      </c>
      <c r="C30" s="56" t="n">
        <v>2.413</v>
      </c>
      <c r="D30" s="34" t="n">
        <v>14</v>
      </c>
      <c r="E30" s="56" t="n">
        <v>2.108</v>
      </c>
      <c r="F30" s="34" t="n">
        <v>15</v>
      </c>
      <c r="G30" s="56" t="n">
        <v>1.829</v>
      </c>
    </row>
    <row r="31" customFormat="false" ht="18" hidden="false" customHeight="true" outlineLevel="0" collapsed="false">
      <c r="B31" s="36" t="n">
        <v>16</v>
      </c>
      <c r="C31" s="57" t="n">
        <v>1.651</v>
      </c>
      <c r="D31" s="36" t="n">
        <v>17</v>
      </c>
      <c r="E31" s="57" t="n">
        <v>1.473</v>
      </c>
      <c r="F31" s="36" t="n">
        <v>18</v>
      </c>
      <c r="G31" s="57" t="n">
        <v>1.245</v>
      </c>
    </row>
    <row r="32" customFormat="false" ht="18" hidden="false" customHeight="true" outlineLevel="0" collapsed="false">
      <c r="B32" s="34" t="n">
        <v>19</v>
      </c>
      <c r="C32" s="56" t="n">
        <v>1.067</v>
      </c>
      <c r="D32" s="34" t="n">
        <v>20</v>
      </c>
      <c r="E32" s="56" t="n">
        <v>0.889</v>
      </c>
      <c r="F32" s="34" t="n">
        <v>22</v>
      </c>
      <c r="G32" s="56" t="n">
        <v>0.711</v>
      </c>
    </row>
    <row r="33" customFormat="false" ht="18" hidden="false" customHeight="true" outlineLevel="0" collapsed="false"/>
    <row r="34" customFormat="false" ht="18" hidden="false" customHeight="true" outlineLevel="0" collapsed="false"/>
  </sheetData>
  <mergeCells count="2">
    <mergeCell ref="B1:E1"/>
    <mergeCell ref="B24:C24"/>
  </mergeCells>
  <conditionalFormatting sqref="D24">
    <cfRule type="expression" priority="2" aboveAverage="0" equalAverage="0" bottom="0" percent="0" rank="0" text="" dxfId="0">
      <formula>D24="PASS"</formula>
    </cfRule>
    <cfRule type="expression" priority="3" aboveAverage="0" equalAverage="0" bottom="0" percent="0" rank="0" text="" dxfId="1">
      <formula>D24="FAIL"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323"/>
    <pageSetUpPr fitToPage="true"/>
  </sheetPr>
  <dimension ref="B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40"/>
  </cols>
  <sheetData>
    <row r="1" customFormat="false" ht="18" hidden="false" customHeight="true" outlineLevel="0" collapsed="false">
      <c r="B1" s="18" t="s">
        <v>306</v>
      </c>
      <c r="C1" s="18"/>
      <c r="D1" s="18"/>
      <c r="E1" s="18"/>
    </row>
    <row r="2" customFormat="false" ht="18" hidden="false" customHeight="true" outlineLevel="0" collapsed="false">
      <c r="B2" s="30" t="s">
        <v>307</v>
      </c>
      <c r="C2" s="31"/>
      <c r="D2" s="31"/>
      <c r="E2" s="31"/>
    </row>
    <row r="3" customFormat="false" ht="18" hidden="false" customHeight="true" outlineLevel="0" collapsed="false"/>
    <row r="4" customFormat="false" ht="18" hidden="false" customHeight="true" outlineLevel="0" collapsed="false">
      <c r="B4" s="19" t="s">
        <v>308</v>
      </c>
      <c r="C4" s="20"/>
      <c r="D4" s="20"/>
      <c r="E4" s="20"/>
      <c r="F4" s="20"/>
    </row>
    <row r="5" customFormat="false" ht="18" hidden="false" customHeight="true" outlineLevel="0" collapsed="false">
      <c r="B5" s="23" t="s">
        <v>309</v>
      </c>
      <c r="C5" s="23" t="s">
        <v>288</v>
      </c>
      <c r="D5" s="23" t="s">
        <v>310</v>
      </c>
      <c r="E5" s="23" t="s">
        <v>311</v>
      </c>
      <c r="F5" s="23" t="s">
        <v>155</v>
      </c>
    </row>
    <row r="6" customFormat="false" ht="18" hidden="false" customHeight="true" outlineLevel="0" collapsed="false">
      <c r="B6" s="33" t="s">
        <v>312</v>
      </c>
      <c r="C6" s="58" t="n">
        <v>2.11</v>
      </c>
      <c r="D6" s="49" t="n">
        <v>0.083</v>
      </c>
      <c r="E6" s="50" t="s">
        <v>313</v>
      </c>
      <c r="F6" s="51" t="s">
        <v>314</v>
      </c>
    </row>
    <row r="7" customFormat="false" ht="18" hidden="false" customHeight="true" outlineLevel="0" collapsed="false">
      <c r="B7" s="35" t="s">
        <v>315</v>
      </c>
      <c r="C7" s="59" t="n">
        <v>1.47</v>
      </c>
      <c r="D7" s="53" t="n">
        <v>0.058</v>
      </c>
      <c r="E7" s="54" t="s">
        <v>316</v>
      </c>
      <c r="F7" s="55" t="s">
        <v>317</v>
      </c>
    </row>
    <row r="8" customFormat="false" ht="18" hidden="false" customHeight="true" outlineLevel="0" collapsed="false">
      <c r="B8" s="33" t="s">
        <v>318</v>
      </c>
      <c r="C8" s="58" t="n">
        <v>1.07</v>
      </c>
      <c r="D8" s="49" t="n">
        <v>0.042</v>
      </c>
      <c r="E8" s="50" t="s">
        <v>319</v>
      </c>
      <c r="F8" s="51" t="s">
        <v>320</v>
      </c>
    </row>
    <row r="9" customFormat="false" ht="18" hidden="false" customHeight="true" outlineLevel="0" collapsed="false"/>
    <row r="10" customFormat="false" ht="18" hidden="false" customHeight="true" outlineLevel="0" collapsed="false">
      <c r="B10" s="37" t="s">
        <v>321</v>
      </c>
      <c r="C10" s="37"/>
      <c r="D10" s="37"/>
      <c r="E10" s="37"/>
      <c r="F10" s="37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>
      <c r="B16" s="23" t="s">
        <v>322</v>
      </c>
      <c r="C16" s="23" t="s">
        <v>323</v>
      </c>
      <c r="D16" s="23" t="s">
        <v>324</v>
      </c>
      <c r="E16" s="23" t="s">
        <v>155</v>
      </c>
    </row>
    <row r="17" customFormat="false" ht="18" hidden="false" customHeight="true" outlineLevel="0" collapsed="false">
      <c r="B17" s="60" t="s">
        <v>325</v>
      </c>
      <c r="C17" s="61" t="s">
        <v>326</v>
      </c>
      <c r="D17" s="61"/>
      <c r="E17" s="62" t="s">
        <v>327</v>
      </c>
    </row>
    <row r="18" customFormat="false" ht="18" hidden="false" customHeight="true" outlineLevel="0" collapsed="false">
      <c r="B18" s="63" t="s">
        <v>328</v>
      </c>
      <c r="C18" s="64" t="s">
        <v>329</v>
      </c>
      <c r="D18" s="64"/>
      <c r="E18" s="62" t="s">
        <v>327</v>
      </c>
    </row>
    <row r="19" customFormat="false" ht="18" hidden="false" customHeight="true" outlineLevel="0" collapsed="false">
      <c r="B19" s="60" t="s">
        <v>330</v>
      </c>
      <c r="C19" s="61" t="s">
        <v>331</v>
      </c>
      <c r="D19" s="61"/>
      <c r="E19" s="62" t="s">
        <v>327</v>
      </c>
    </row>
    <row r="20" customFormat="false" ht="18" hidden="false" customHeight="true" outlineLevel="0" collapsed="false">
      <c r="B20" s="63" t="s">
        <v>332</v>
      </c>
      <c r="C20" s="64" t="s">
        <v>333</v>
      </c>
      <c r="D20" s="64"/>
      <c r="E20" s="62" t="s">
        <v>327</v>
      </c>
    </row>
    <row r="21" customFormat="false" ht="18" hidden="false" customHeight="true" outlineLevel="0" collapsed="false">
      <c r="B21" s="60" t="s">
        <v>334</v>
      </c>
      <c r="C21" s="61" t="s">
        <v>335</v>
      </c>
      <c r="D21" s="61"/>
      <c r="E21" s="62" t="s">
        <v>327</v>
      </c>
    </row>
    <row r="22" customFormat="false" ht="18" hidden="false" customHeight="true" outlineLevel="0" collapsed="false">
      <c r="B22" s="63" t="s">
        <v>336</v>
      </c>
      <c r="C22" s="64" t="s">
        <v>337</v>
      </c>
      <c r="D22" s="64"/>
      <c r="E22" s="62" t="s">
        <v>327</v>
      </c>
    </row>
    <row r="23" customFormat="false" ht="18" hidden="false" customHeight="true" outlineLevel="0" collapsed="false">
      <c r="B23" s="60" t="s">
        <v>338</v>
      </c>
      <c r="C23" s="61" t="s">
        <v>339</v>
      </c>
      <c r="D23" s="61"/>
      <c r="E23" s="62" t="s">
        <v>327</v>
      </c>
    </row>
    <row r="24" customFormat="false" ht="18" hidden="false" customHeight="true" outlineLevel="0" collapsed="false">
      <c r="B24" s="63" t="s">
        <v>340</v>
      </c>
      <c r="C24" s="64" t="s">
        <v>341</v>
      </c>
      <c r="D24" s="64"/>
      <c r="E24" s="62" t="s">
        <v>327</v>
      </c>
    </row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>
      <c r="B27" s="19" t="s">
        <v>342</v>
      </c>
      <c r="C27" s="20"/>
      <c r="D27" s="20"/>
      <c r="E27" s="20"/>
    </row>
    <row r="28" customFormat="false" ht="18" hidden="false" customHeight="true" outlineLevel="0" collapsed="false">
      <c r="B28" s="23" t="s">
        <v>48</v>
      </c>
      <c r="C28" s="23" t="s">
        <v>71</v>
      </c>
      <c r="D28" s="23" t="s">
        <v>49</v>
      </c>
      <c r="E28" s="23" t="s">
        <v>50</v>
      </c>
    </row>
    <row r="29" customFormat="false" ht="18" hidden="false" customHeight="true" outlineLevel="0" collapsed="false">
      <c r="B29" s="21" t="s">
        <v>296</v>
      </c>
      <c r="C29" s="38" t="s">
        <v>52</v>
      </c>
      <c r="D29" s="41" t="n">
        <f aca="false">INPUTS!D13</f>
        <v>19.05</v>
      </c>
      <c r="E29" s="21" t="s">
        <v>53</v>
      </c>
    </row>
    <row r="30" customFormat="false" ht="18" hidden="false" customHeight="true" outlineLevel="0" collapsed="false">
      <c r="B30" s="21" t="s">
        <v>343</v>
      </c>
      <c r="C30" s="38" t="s">
        <v>56</v>
      </c>
      <c r="D30" s="41" t="n">
        <f aca="false">INPUTS!D14</f>
        <v>2.11</v>
      </c>
      <c r="E30" s="21" t="s">
        <v>53</v>
      </c>
    </row>
    <row r="31" customFormat="false" ht="18" hidden="false" customHeight="true" outlineLevel="0" collapsed="false">
      <c r="B31" s="21" t="s">
        <v>344</v>
      </c>
      <c r="C31" s="38" t="s">
        <v>90</v>
      </c>
      <c r="D31" s="65" t="str">
        <f aca="false">INPUTS!D30</f>
        <v>SA-179 / SMLS CS</v>
      </c>
      <c r="E31" s="21" t="s">
        <v>92</v>
      </c>
    </row>
    <row r="32" customFormat="false" ht="18" hidden="false" customHeight="true" outlineLevel="0" collapsed="false">
      <c r="B32" s="21" t="s">
        <v>345</v>
      </c>
      <c r="C32" s="38" t="s">
        <v>346</v>
      </c>
      <c r="D32" s="41" t="n">
        <f aca="false">C6</f>
        <v>2.11</v>
      </c>
      <c r="E32" s="21" t="s">
        <v>53</v>
      </c>
    </row>
    <row r="33" customFormat="false" ht="18" hidden="false" customHeight="true" outlineLevel="0" collapsed="false">
      <c r="B33" s="21" t="s">
        <v>347</v>
      </c>
      <c r="C33" s="38" t="s">
        <v>348</v>
      </c>
      <c r="D33" s="41" t="n">
        <f aca="false">C7</f>
        <v>1.47</v>
      </c>
      <c r="E33" s="21" t="s">
        <v>53</v>
      </c>
    </row>
    <row r="34" customFormat="false" ht="18" hidden="false" customHeight="true" outlineLevel="0" collapsed="false">
      <c r="B34" s="21" t="s">
        <v>349</v>
      </c>
      <c r="C34" s="38" t="s">
        <v>350</v>
      </c>
      <c r="D34" s="41" t="n">
        <f aca="false">C8</f>
        <v>1.07</v>
      </c>
      <c r="E34" s="21" t="s">
        <v>53</v>
      </c>
    </row>
    <row r="35" customFormat="false" ht="18" hidden="false" customHeight="true" outlineLevel="0" collapsed="false">
      <c r="B35" s="42" t="s">
        <v>351</v>
      </c>
      <c r="C35" s="42"/>
      <c r="D35" s="43" t="str">
        <f aca="false">IF(D30&gt;=D32,"PASS","FAIL")</f>
        <v>PASS</v>
      </c>
      <c r="E35" s="66" t="s">
        <v>352</v>
      </c>
    </row>
    <row r="36" customFormat="false" ht="18" hidden="false" customHeight="true" outlineLevel="0" collapsed="false"/>
    <row r="37" customFormat="false" ht="18" hidden="false" customHeight="true" outlineLevel="0" collapsed="false"/>
  </sheetData>
  <mergeCells count="11">
    <mergeCell ref="B1:E1"/>
    <mergeCell ref="B10:F10"/>
    <mergeCell ref="C17:D17"/>
    <mergeCell ref="C18:D18"/>
    <mergeCell ref="C19:D19"/>
    <mergeCell ref="C20:D20"/>
    <mergeCell ref="C21:D21"/>
    <mergeCell ref="C22:D22"/>
    <mergeCell ref="C23:D23"/>
    <mergeCell ref="C24:D24"/>
    <mergeCell ref="B35:C35"/>
  </mergeCells>
  <conditionalFormatting sqref="D35">
    <cfRule type="expression" priority="2" aboveAverage="0" equalAverage="0" bottom="0" percent="0" rank="0" text="" dxfId="0">
      <formula>D35="PASS"</formula>
    </cfRule>
    <cfRule type="expression" priority="3" aboveAverage="0" equalAverage="0" bottom="0" percent="0" rank="0" text="" dxfId="1">
      <formula>D35="FAIL"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B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5"/>
  </cols>
  <sheetData>
    <row r="1" customFormat="false" ht="19.5" hidden="false" customHeight="true" outlineLevel="0" collapsed="false">
      <c r="B1" s="18" t="s">
        <v>353</v>
      </c>
      <c r="C1" s="18"/>
      <c r="D1" s="18"/>
      <c r="E1" s="18"/>
    </row>
    <row r="2" customFormat="false" ht="19.5" hidden="false" customHeight="true" outlineLevel="0" collapsed="false">
      <c r="B2" s="30" t="s">
        <v>354</v>
      </c>
      <c r="C2" s="31"/>
      <c r="D2" s="31"/>
      <c r="E2" s="31"/>
    </row>
    <row r="3" customFormat="false" ht="19.5" hidden="false" customHeight="true" outlineLevel="0" collapsed="false"/>
    <row r="4" customFormat="false" ht="19.5" hidden="false" customHeight="true" outlineLevel="0" collapsed="false">
      <c r="B4" s="19" t="s">
        <v>355</v>
      </c>
      <c r="C4" s="20"/>
      <c r="D4" s="20"/>
      <c r="E4" s="20"/>
    </row>
    <row r="5" customFormat="false" ht="19.5" hidden="false" customHeight="true" outlineLevel="0" collapsed="false">
      <c r="B5" s="23" t="s">
        <v>322</v>
      </c>
      <c r="C5" s="23" t="s">
        <v>323</v>
      </c>
      <c r="D5" s="23" t="s">
        <v>356</v>
      </c>
      <c r="E5" s="23" t="s">
        <v>155</v>
      </c>
    </row>
    <row r="6" customFormat="false" ht="19.5" hidden="false" customHeight="true" outlineLevel="0" collapsed="false">
      <c r="B6" s="67" t="s">
        <v>357</v>
      </c>
      <c r="C6" s="64" t="s">
        <v>358</v>
      </c>
      <c r="D6" s="64"/>
      <c r="E6" s="62" t="s">
        <v>359</v>
      </c>
    </row>
    <row r="7" customFormat="false" ht="19.5" hidden="false" customHeight="true" outlineLevel="0" collapsed="false">
      <c r="B7" s="68" t="s">
        <v>360</v>
      </c>
      <c r="C7" s="61" t="s">
        <v>361</v>
      </c>
      <c r="D7" s="61"/>
      <c r="E7" s="62" t="s">
        <v>359</v>
      </c>
    </row>
    <row r="8" customFormat="false" ht="19.5" hidden="false" customHeight="true" outlineLevel="0" collapsed="false">
      <c r="B8" s="67" t="s">
        <v>362</v>
      </c>
      <c r="C8" s="64" t="s">
        <v>363</v>
      </c>
      <c r="D8" s="64"/>
      <c r="E8" s="62" t="s">
        <v>359</v>
      </c>
    </row>
    <row r="9" customFormat="false" ht="19.5" hidden="false" customHeight="true" outlineLevel="0" collapsed="false">
      <c r="B9" s="68" t="s">
        <v>364</v>
      </c>
      <c r="C9" s="61" t="s">
        <v>365</v>
      </c>
      <c r="D9" s="61"/>
      <c r="E9" s="62" t="s">
        <v>359</v>
      </c>
    </row>
    <row r="10" customFormat="false" ht="19.5" hidden="false" customHeight="true" outlineLevel="0" collapsed="false">
      <c r="B10" s="67" t="s">
        <v>366</v>
      </c>
      <c r="C10" s="64" t="s">
        <v>337</v>
      </c>
      <c r="D10" s="64"/>
      <c r="E10" s="62" t="s">
        <v>359</v>
      </c>
    </row>
    <row r="11" customFormat="false" ht="19.5" hidden="false" customHeight="true" outlineLevel="0" collapsed="false">
      <c r="B11" s="68" t="s">
        <v>367</v>
      </c>
      <c r="C11" s="61" t="s">
        <v>368</v>
      </c>
      <c r="D11" s="61"/>
      <c r="E11" s="62" t="s">
        <v>359</v>
      </c>
    </row>
    <row r="12" customFormat="false" ht="19.5" hidden="false" customHeight="true" outlineLevel="0" collapsed="false">
      <c r="B12" s="67" t="s">
        <v>369</v>
      </c>
      <c r="C12" s="64" t="s">
        <v>370</v>
      </c>
      <c r="D12" s="64"/>
      <c r="E12" s="62" t="s">
        <v>359</v>
      </c>
    </row>
    <row r="13" customFormat="false" ht="19.5" hidden="false" customHeight="true" outlineLevel="0" collapsed="false">
      <c r="B13" s="68" t="s">
        <v>371</v>
      </c>
      <c r="C13" s="61" t="s">
        <v>372</v>
      </c>
      <c r="D13" s="61"/>
      <c r="E13" s="62" t="s">
        <v>359</v>
      </c>
    </row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>
      <c r="B20" s="19" t="s">
        <v>373</v>
      </c>
      <c r="C20" s="20"/>
      <c r="D20" s="20"/>
      <c r="E20" s="20"/>
    </row>
    <row r="21" customFormat="false" ht="19.5" hidden="false" customHeight="true" outlineLevel="0" collapsed="false">
      <c r="B21" s="23" t="s">
        <v>48</v>
      </c>
      <c r="C21" s="23" t="s">
        <v>71</v>
      </c>
      <c r="D21" s="23" t="s">
        <v>49</v>
      </c>
      <c r="E21" s="23" t="s">
        <v>50</v>
      </c>
    </row>
    <row r="22" customFormat="false" ht="19.5" hidden="false" customHeight="true" outlineLevel="0" collapsed="false">
      <c r="B22" s="21" t="s">
        <v>296</v>
      </c>
      <c r="C22" s="38" t="s">
        <v>52</v>
      </c>
      <c r="D22" s="41" t="n">
        <f aca="false">INPUTS!D13</f>
        <v>19.05</v>
      </c>
      <c r="E22" s="21" t="s">
        <v>53</v>
      </c>
    </row>
    <row r="23" customFormat="false" ht="19.5" hidden="false" customHeight="true" outlineLevel="0" collapsed="false">
      <c r="B23" s="21" t="s">
        <v>343</v>
      </c>
      <c r="C23" s="38" t="s">
        <v>56</v>
      </c>
      <c r="D23" s="41" t="n">
        <f aca="false">INPUTS!D14</f>
        <v>2.11</v>
      </c>
      <c r="E23" s="21" t="s">
        <v>53</v>
      </c>
    </row>
    <row r="24" customFormat="false" ht="19.5" hidden="false" customHeight="true" outlineLevel="0" collapsed="false">
      <c r="B24" s="21" t="s">
        <v>374</v>
      </c>
      <c r="C24" s="38" t="s">
        <v>375</v>
      </c>
      <c r="D24" s="41" t="n">
        <f aca="false">API_660!C6</f>
        <v>2.11</v>
      </c>
      <c r="E24" s="21" t="s">
        <v>53</v>
      </c>
    </row>
    <row r="25" customFormat="false" ht="19.5" hidden="false" customHeight="true" outlineLevel="0" collapsed="false">
      <c r="B25" s="21" t="s">
        <v>376</v>
      </c>
      <c r="C25" s="38" t="s">
        <v>377</v>
      </c>
      <c r="D25" s="69" t="n">
        <v>2.108</v>
      </c>
      <c r="E25" s="21" t="s">
        <v>53</v>
      </c>
    </row>
    <row r="26" customFormat="false" ht="19.5" hidden="false" customHeight="true" outlineLevel="0" collapsed="false">
      <c r="B26" s="21" t="s">
        <v>378</v>
      </c>
      <c r="C26" s="38" t="s">
        <v>379</v>
      </c>
      <c r="D26" s="41" t="n">
        <f aca="false">MAX(D24,D25)</f>
        <v>2.11</v>
      </c>
      <c r="E26" s="21" t="s">
        <v>53</v>
      </c>
    </row>
    <row r="27" customFormat="false" ht="19.5" hidden="false" customHeight="true" outlineLevel="0" collapsed="false">
      <c r="B27" s="42" t="s">
        <v>380</v>
      </c>
      <c r="C27" s="42"/>
      <c r="D27" s="43" t="str">
        <f aca="false">IF(D23&gt;=D26,"PASS","FAIL")</f>
        <v>PASS</v>
      </c>
      <c r="E27" s="66" t="s">
        <v>381</v>
      </c>
    </row>
    <row r="28" customFormat="false" ht="19.5" hidden="false" customHeight="true" outlineLevel="0" collapsed="false"/>
    <row r="29" customFormat="false" ht="19.5" hidden="false" customHeight="true" outlineLevel="0" collapsed="false"/>
  </sheetData>
  <mergeCells count="10">
    <mergeCell ref="B1:E1"/>
    <mergeCell ref="C6:D6"/>
    <mergeCell ref="C7:D7"/>
    <mergeCell ref="C8:D8"/>
    <mergeCell ref="C9:D9"/>
    <mergeCell ref="C10:D10"/>
    <mergeCell ref="C11:D11"/>
    <mergeCell ref="C12:D12"/>
    <mergeCell ref="C13:D13"/>
    <mergeCell ref="B27:C27"/>
  </mergeCells>
  <conditionalFormatting sqref="D27">
    <cfRule type="expression" priority="2" aboveAverage="0" equalAverage="0" bottom="0" percent="0" rank="0" text="" dxfId="0">
      <formula>D27="PASS"</formula>
    </cfRule>
    <cfRule type="expression" priority="3" aboveAverage="0" equalAverage="0" bottom="0" percent="0" rank="0" text="" dxfId="1">
      <formula>D27="FAIL"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B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30" hidden="false" customHeight="true" outlineLevel="0" collapsed="false">
      <c r="B1" s="70" t="s">
        <v>382</v>
      </c>
      <c r="C1" s="70"/>
      <c r="D1" s="70"/>
      <c r="E1" s="70"/>
      <c r="F1" s="70"/>
    </row>
    <row r="2" customFormat="false" ht="19.5" hidden="false" customHeight="true" outlineLevel="0" collapsed="false"/>
    <row r="3" customFormat="false" ht="19.5" hidden="false" customHeight="true" outlineLevel="0" collapsed="false">
      <c r="B3" s="71" t="s">
        <v>383</v>
      </c>
      <c r="C3" s="72"/>
      <c r="D3" s="72"/>
      <c r="E3" s="72"/>
      <c r="F3" s="72"/>
    </row>
    <row r="4" customFormat="false" ht="19.5" hidden="false" customHeight="true" outlineLevel="0" collapsed="false">
      <c r="B4" s="32" t="s">
        <v>48</v>
      </c>
      <c r="C4" s="32" t="s">
        <v>71</v>
      </c>
      <c r="D4" s="32" t="s">
        <v>49</v>
      </c>
      <c r="E4" s="32" t="s">
        <v>50</v>
      </c>
      <c r="F4" s="32" t="s">
        <v>384</v>
      </c>
    </row>
    <row r="5" customFormat="false" ht="19.5" hidden="false" customHeight="true" outlineLevel="0" collapsed="false">
      <c r="B5" s="21" t="s">
        <v>213</v>
      </c>
      <c r="C5" s="38" t="s">
        <v>52</v>
      </c>
      <c r="D5" s="73" t="n">
        <f aca="false">INPUTS!D13</f>
        <v>19.05</v>
      </c>
      <c r="E5" s="74" t="s">
        <v>53</v>
      </c>
      <c r="F5" s="40" t="s">
        <v>385</v>
      </c>
    </row>
    <row r="6" customFormat="false" ht="19.5" hidden="false" customHeight="true" outlineLevel="0" collapsed="false">
      <c r="B6" s="21" t="s">
        <v>386</v>
      </c>
      <c r="C6" s="38" t="s">
        <v>56</v>
      </c>
      <c r="D6" s="73" t="n">
        <f aca="false">INPUTS!D14</f>
        <v>2.11</v>
      </c>
      <c r="E6" s="74" t="s">
        <v>53</v>
      </c>
      <c r="F6" s="40" t="s">
        <v>385</v>
      </c>
    </row>
    <row r="7" customFormat="false" ht="19.5" hidden="false" customHeight="true" outlineLevel="0" collapsed="false">
      <c r="B7" s="21" t="s">
        <v>387</v>
      </c>
      <c r="C7" s="38" t="s">
        <v>73</v>
      </c>
      <c r="D7" s="73" t="n">
        <f aca="false">INPUTS!D22</f>
        <v>40</v>
      </c>
      <c r="E7" s="74" t="s">
        <v>74</v>
      </c>
      <c r="F7" s="40" t="s">
        <v>385</v>
      </c>
    </row>
    <row r="8" customFormat="false" ht="19.5" hidden="false" customHeight="true" outlineLevel="0" collapsed="false">
      <c r="B8" s="21" t="s">
        <v>79</v>
      </c>
      <c r="C8" s="38" t="s">
        <v>80</v>
      </c>
      <c r="D8" s="73" t="n">
        <f aca="false">INPUTS!D24</f>
        <v>200</v>
      </c>
      <c r="E8" s="74" t="s">
        <v>81</v>
      </c>
      <c r="F8" s="40" t="s">
        <v>385</v>
      </c>
    </row>
    <row r="9" customFormat="false" ht="19.5" hidden="false" customHeight="true" outlineLevel="0" collapsed="false">
      <c r="B9" s="21" t="s">
        <v>388</v>
      </c>
      <c r="C9" s="38" t="s">
        <v>95</v>
      </c>
      <c r="D9" s="73" t="n">
        <f aca="false">INPUTS!D31</f>
        <v>92.6</v>
      </c>
      <c r="E9" s="74" t="s">
        <v>96</v>
      </c>
      <c r="F9" s="40" t="s">
        <v>389</v>
      </c>
    </row>
    <row r="10" customFormat="false" ht="19.5" hidden="false" customHeight="true" outlineLevel="0" collapsed="false">
      <c r="B10" s="21" t="s">
        <v>390</v>
      </c>
      <c r="C10" s="38" t="s">
        <v>219</v>
      </c>
      <c r="D10" s="73" t="n">
        <f aca="false">INPUTS!D37+INPUTS!D38</f>
        <v>1</v>
      </c>
      <c r="E10" s="74" t="s">
        <v>53</v>
      </c>
      <c r="F10" s="40" t="s">
        <v>385</v>
      </c>
    </row>
    <row r="11" customFormat="false" ht="19.5" hidden="false" customHeight="true" outlineLevel="0" collapsed="false">
      <c r="B11" s="21" t="s">
        <v>112</v>
      </c>
      <c r="C11" s="38" t="s">
        <v>113</v>
      </c>
      <c r="D11" s="73" t="n">
        <f aca="false">INPUTS!D39</f>
        <v>12.5</v>
      </c>
      <c r="E11" s="74" t="s">
        <v>114</v>
      </c>
      <c r="F11" s="40" t="s">
        <v>385</v>
      </c>
    </row>
    <row r="12" customFormat="false" ht="19.5" hidden="false" customHeight="true" outlineLevel="0" collapsed="false"/>
    <row r="13" customFormat="false" ht="19.5" hidden="false" customHeight="true" outlineLevel="0" collapsed="false">
      <c r="B13" s="19" t="s">
        <v>391</v>
      </c>
      <c r="C13" s="20"/>
      <c r="D13" s="20"/>
      <c r="E13" s="20"/>
      <c r="F13" s="20"/>
    </row>
    <row r="14" customFormat="false" ht="19.5" hidden="false" customHeight="true" outlineLevel="0" collapsed="false">
      <c r="B14" s="23" t="s">
        <v>392</v>
      </c>
      <c r="C14" s="23" t="s">
        <v>393</v>
      </c>
      <c r="D14" s="23" t="s">
        <v>394</v>
      </c>
      <c r="E14" s="23" t="s">
        <v>356</v>
      </c>
      <c r="F14" s="23" t="s">
        <v>395</v>
      </c>
    </row>
    <row r="15" customFormat="false" ht="19.5" hidden="false" customHeight="true" outlineLevel="0" collapsed="false">
      <c r="B15" s="21" t="s">
        <v>396</v>
      </c>
      <c r="C15" s="75" t="s">
        <v>397</v>
      </c>
      <c r="D15" s="41" t="n">
        <f aca="false">ASME_VIII!D18</f>
        <v>0.404458598726115</v>
      </c>
      <c r="E15" s="76" t="str">
        <f aca="false">IF(ASME_VIII!D23="PASS","PASS","FAIL")</f>
        <v>PASS</v>
      </c>
      <c r="F15" s="44"/>
    </row>
    <row r="16" customFormat="false" ht="19.5" hidden="false" customHeight="true" outlineLevel="0" collapsed="false">
      <c r="B16" s="21" t="s">
        <v>398</v>
      </c>
      <c r="C16" s="75" t="s">
        <v>399</v>
      </c>
      <c r="D16" s="41" t="n">
        <f aca="false">ASME_VIII!D38</f>
        <v>0.207516339869281</v>
      </c>
      <c r="E16" s="76" t="str">
        <f aca="false">IF(ASME_VIII!D38&lt;=ASME_VIII!D18,"N/A (Circ governs)","Check")</f>
        <v>N/A (Circ governs)</v>
      </c>
      <c r="F16" s="44"/>
    </row>
    <row r="17" customFormat="false" ht="19.5" hidden="false" customHeight="true" outlineLevel="0" collapsed="false">
      <c r="B17" s="21" t="s">
        <v>400</v>
      </c>
      <c r="C17" s="75" t="s">
        <v>401</v>
      </c>
      <c r="D17" s="41" t="n">
        <f aca="false">ASME_VIII!D19</f>
        <v>1.60509554140127</v>
      </c>
      <c r="E17" s="76" t="str">
        <f aca="false">IF(INPUTS!D14&gt;=ASME_VIII!D19,"PASS","FAIL")</f>
        <v>PASS</v>
      </c>
      <c r="F17" s="44"/>
    </row>
    <row r="18" customFormat="false" ht="19.5" hidden="false" customHeight="true" outlineLevel="0" collapsed="false">
      <c r="B18" s="21" t="s">
        <v>402</v>
      </c>
      <c r="C18" s="75" t="s">
        <v>403</v>
      </c>
      <c r="D18" s="41" t="n">
        <f aca="false">TEMA!D22</f>
        <v>1.651</v>
      </c>
      <c r="E18" s="76" t="str">
        <f aca="false">TEMA!D24</f>
        <v>PASS</v>
      </c>
      <c r="F18" s="44"/>
    </row>
    <row r="19" customFormat="false" ht="19.5" hidden="false" customHeight="true" outlineLevel="0" collapsed="false">
      <c r="B19" s="21" t="s">
        <v>404</v>
      </c>
      <c r="C19" s="75" t="s">
        <v>405</v>
      </c>
      <c r="D19" s="41" t="n">
        <f aca="false">API_660!D32</f>
        <v>2.11</v>
      </c>
      <c r="E19" s="76" t="str">
        <f aca="false">API_660!D35</f>
        <v>PASS</v>
      </c>
      <c r="F19" s="44"/>
    </row>
    <row r="20" customFormat="false" ht="19.5" hidden="false" customHeight="true" outlineLevel="0" collapsed="false">
      <c r="B20" s="21" t="s">
        <v>406</v>
      </c>
      <c r="C20" s="75" t="s">
        <v>407</v>
      </c>
      <c r="D20" s="41" t="n">
        <f aca="false">IOGP!D26</f>
        <v>2.11</v>
      </c>
      <c r="E20" s="76" t="str">
        <f aca="false">IOGP!D27</f>
        <v>PASS</v>
      </c>
      <c r="F20" s="44"/>
    </row>
    <row r="21" customFormat="false" ht="19.5" hidden="false" customHeight="true" outlineLevel="0" collapsed="false">
      <c r="B21" s="3" t="s">
        <v>408</v>
      </c>
      <c r="C21" s="3"/>
      <c r="D21" s="77" t="n">
        <f aca="false">_xlfn.MAXIFS(D15:D20,D15:D20,"&gt;0")</f>
        <v>2.11</v>
      </c>
      <c r="E21" s="78" t="s">
        <v>409</v>
      </c>
    </row>
    <row r="22" customFormat="false" ht="19.5" hidden="false" customHeight="true" outlineLevel="0" collapsed="false">
      <c r="B22" s="3" t="s">
        <v>410</v>
      </c>
      <c r="C22" s="3"/>
      <c r="D22" s="79" t="n">
        <f aca="false">INPUTS!D14</f>
        <v>2.11</v>
      </c>
      <c r="E22" s="78" t="s">
        <v>411</v>
      </c>
    </row>
    <row r="23" customFormat="false" ht="19.5" hidden="false" customHeight="true" outlineLevel="0" collapsed="false">
      <c r="B23" s="80" t="s">
        <v>412</v>
      </c>
      <c r="C23" s="80"/>
      <c r="D23" s="81" t="str">
        <f aca="false">IF(INPUTS!D14&gt;=_xlfn.MAXIFS(D15:D20,D15:D20,"&gt;0"),"PASS","FAIL — increase wall")</f>
        <v>PASS</v>
      </c>
      <c r="E23" s="81"/>
      <c r="F23" s="81"/>
    </row>
    <row r="24" customFormat="false" ht="19.5" hidden="false" customHeight="true" outlineLevel="0" collapsed="false"/>
    <row r="25" customFormat="false" ht="19.5" hidden="false" customHeight="true" outlineLevel="0" collapsed="false">
      <c r="B25" s="19" t="s">
        <v>413</v>
      </c>
      <c r="C25" s="20"/>
      <c r="D25" s="20"/>
      <c r="E25" s="20"/>
      <c r="F25" s="20"/>
    </row>
    <row r="26" customFormat="false" ht="19.5" hidden="false" customHeight="true" outlineLevel="0" collapsed="false">
      <c r="B26" s="21" t="s">
        <v>414</v>
      </c>
      <c r="D26" s="41" t="n">
        <f aca="false">ASME_VIII!D21</f>
        <v>8.53020736950961</v>
      </c>
      <c r="E26" s="21" t="s">
        <v>96</v>
      </c>
    </row>
    <row r="27" customFormat="false" ht="19.5" hidden="false" customHeight="true" outlineLevel="0" collapsed="false">
      <c r="B27" s="21" t="s">
        <v>237</v>
      </c>
      <c r="D27" s="82" t="n">
        <f aca="false">ASME_VIII!D22</f>
        <v>85.3020736950961</v>
      </c>
      <c r="E27" s="21" t="s">
        <v>74</v>
      </c>
    </row>
    <row r="28" customFormat="false" ht="19.5" hidden="false" customHeight="true" outlineLevel="0" collapsed="false">
      <c r="B28" s="21" t="s">
        <v>415</v>
      </c>
      <c r="D28" s="41" t="n">
        <f aca="false">ASME_VIII!D32</f>
        <v>8.22706036745407</v>
      </c>
      <c r="E28" s="21" t="s">
        <v>96</v>
      </c>
    </row>
    <row r="29" customFormat="false" ht="19.5" hidden="false" customHeight="true" outlineLevel="0" collapsed="false"/>
    <row r="30" customFormat="false" ht="19.5" hidden="false" customHeight="true" outlineLevel="0" collapsed="false">
      <c r="B30" s="19" t="s">
        <v>416</v>
      </c>
      <c r="C30" s="20"/>
      <c r="D30" s="20"/>
      <c r="E30" s="20"/>
      <c r="F30" s="20"/>
    </row>
    <row r="31" customFormat="false" ht="19.5" hidden="false" customHeight="true" outlineLevel="0" collapsed="false">
      <c r="B31" s="21" t="s">
        <v>123</v>
      </c>
      <c r="C31" s="38" t="s">
        <v>124</v>
      </c>
      <c r="D31" s="73" t="n">
        <f aca="false">INPUTS!D45</f>
        <v>400</v>
      </c>
      <c r="E31" s="74" t="s">
        <v>92</v>
      </c>
    </row>
    <row r="32" customFormat="false" ht="19.5" hidden="false" customHeight="true" outlineLevel="0" collapsed="false">
      <c r="B32" s="21" t="s">
        <v>417</v>
      </c>
      <c r="C32" s="38" t="s">
        <v>418</v>
      </c>
      <c r="D32" s="73" t="str">
        <f aca="false">_xlfn.CONCAT(TEXT(INPUTS!D13,"0.0"),"×",TEXT(INPUTS!D14,"0.00"))</f>
        <v>19.1×2.11</v>
      </c>
      <c r="E32" s="74" t="s">
        <v>53</v>
      </c>
    </row>
    <row r="33" customFormat="false" ht="19.5" hidden="false" customHeight="true" outlineLevel="0" collapsed="false">
      <c r="B33" s="21" t="s">
        <v>129</v>
      </c>
      <c r="C33" s="38" t="s">
        <v>130</v>
      </c>
      <c r="D33" s="73" t="n">
        <f aca="false">INPUTS!D47</f>
        <v>25.4</v>
      </c>
      <c r="E33" s="74" t="s">
        <v>53</v>
      </c>
    </row>
    <row r="34" customFormat="false" ht="19.5" hidden="false" customHeight="true" outlineLevel="0" collapsed="false">
      <c r="B34" s="21" t="s">
        <v>419</v>
      </c>
      <c r="C34" s="38" t="s">
        <v>420</v>
      </c>
      <c r="D34" s="73" t="n">
        <f aca="false">INPUTS!D17</f>
        <v>4880</v>
      </c>
      <c r="E34" s="74" t="s">
        <v>53</v>
      </c>
    </row>
    <row r="35" customFormat="false" ht="19.5" hidden="false" customHeight="true" outlineLevel="0" collapsed="false">
      <c r="B35" s="21" t="s">
        <v>421</v>
      </c>
      <c r="C35" s="38" t="s">
        <v>137</v>
      </c>
      <c r="D35" s="73" t="n">
        <f aca="false">INPUTS!D49</f>
        <v>500</v>
      </c>
      <c r="E35" s="74" t="s">
        <v>53</v>
      </c>
    </row>
    <row r="36" customFormat="false" ht="19.5" hidden="false" customHeight="true" outlineLevel="0" collapsed="false">
      <c r="B36" s="21" t="s">
        <v>422</v>
      </c>
      <c r="C36" s="38" t="s">
        <v>423</v>
      </c>
      <c r="D36" s="73" t="n">
        <f aca="false">INPUTS!D45*PI()*INPUTS!D13/1000*INPUTS!D17/1000</f>
        <v>116.822007779329</v>
      </c>
      <c r="E36" s="74" t="s">
        <v>63</v>
      </c>
    </row>
    <row r="37" customFormat="false" ht="19.5" hidden="false" customHeight="true" outlineLevel="0" collapsed="false"/>
    <row r="38" customFormat="false" ht="19.5" hidden="false" customHeight="true" outlineLevel="0" collapsed="false">
      <c r="B38" s="45" t="s">
        <v>424</v>
      </c>
      <c r="C38" s="45"/>
      <c r="D38" s="45"/>
      <c r="E38" s="45"/>
      <c r="F38" s="45"/>
    </row>
    <row r="39" customFormat="false" ht="19.5" hidden="false" customHeight="true" outlineLevel="0" collapsed="false"/>
  </sheetData>
  <mergeCells count="6">
    <mergeCell ref="B1:F1"/>
    <mergeCell ref="B21:C21"/>
    <mergeCell ref="B22:C22"/>
    <mergeCell ref="B23:C23"/>
    <mergeCell ref="D23:F23"/>
    <mergeCell ref="B38:F38"/>
  </mergeCells>
  <conditionalFormatting sqref="E15">
    <cfRule type="expression" priority="2" aboveAverage="0" equalAverage="0" bottom="0" percent="0" rank="0" text="" dxfId="2">
      <formula>E15="PASS"</formula>
    </cfRule>
    <cfRule type="expression" priority="3" aboveAverage="0" equalAverage="0" bottom="0" percent="0" rank="0" text="" dxfId="3">
      <formula>E15="FAIL"</formula>
    </cfRule>
  </conditionalFormatting>
  <conditionalFormatting sqref="E16">
    <cfRule type="expression" priority="4" aboveAverage="0" equalAverage="0" bottom="0" percent="0" rank="0" text="" dxfId="2">
      <formula>E16="PASS"</formula>
    </cfRule>
    <cfRule type="expression" priority="5" aboveAverage="0" equalAverage="0" bottom="0" percent="0" rank="0" text="" dxfId="3">
      <formula>E16="FAIL"</formula>
    </cfRule>
  </conditionalFormatting>
  <conditionalFormatting sqref="E17">
    <cfRule type="expression" priority="6" aboveAverage="0" equalAverage="0" bottom="0" percent="0" rank="0" text="" dxfId="2">
      <formula>E17="PASS"</formula>
    </cfRule>
    <cfRule type="expression" priority="7" aboveAverage="0" equalAverage="0" bottom="0" percent="0" rank="0" text="" dxfId="3">
      <formula>E17="FAIL"</formula>
    </cfRule>
  </conditionalFormatting>
  <conditionalFormatting sqref="E18">
    <cfRule type="expression" priority="8" aboveAverage="0" equalAverage="0" bottom="0" percent="0" rank="0" text="" dxfId="2">
      <formula>E18="PASS"</formula>
    </cfRule>
    <cfRule type="expression" priority="9" aboveAverage="0" equalAverage="0" bottom="0" percent="0" rank="0" text="" dxfId="3">
      <formula>E18="FAIL"</formula>
    </cfRule>
  </conditionalFormatting>
  <conditionalFormatting sqref="E19">
    <cfRule type="expression" priority="10" aboveAverage="0" equalAverage="0" bottom="0" percent="0" rank="0" text="" dxfId="2">
      <formula>E19="PASS"</formula>
    </cfRule>
    <cfRule type="expression" priority="11" aboveAverage="0" equalAverage="0" bottom="0" percent="0" rank="0" text="" dxfId="3">
      <formula>E19="FAIL"</formula>
    </cfRule>
  </conditionalFormatting>
  <conditionalFormatting sqref="E20">
    <cfRule type="expression" priority="12" aboveAverage="0" equalAverage="0" bottom="0" percent="0" rank="0" text="" dxfId="2">
      <formula>E20="PASS"</formula>
    </cfRule>
    <cfRule type="expression" priority="13" aboveAverage="0" equalAverage="0" bottom="0" percent="0" rank="0" text="" dxfId="3">
      <formula>E20="FAIL"</formula>
    </cfRule>
  </conditionalFormatting>
  <conditionalFormatting sqref="D23">
    <cfRule type="expression" priority="14" aboveAverage="0" equalAverage="0" bottom="0" percent="0" rank="0" text="" dxfId="4">
      <formula>D23="PASS"</formula>
    </cfRule>
    <cfRule type="expression" priority="15" aboveAverage="0" equalAverage="0" bottom="0" percent="0" rank="0" text="" dxfId="5">
      <formula>D23&lt;&gt;"PASS"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2026-10-21T05:45:48Z</dcterms:created>
  <dc:creator>openpyxl</dc:creator>
  <dc:description/>
  <dc:language>en-US</dc:language>
  <cp:lastModifiedBy/>
  <dcterms:modified xsi:type="dcterms:W3CDTF">2026-10-21T05:45:48Z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